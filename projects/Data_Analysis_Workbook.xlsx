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tables/table5.xml" ContentType="application/vnd.openxmlformats-officedocument.spreadsheetml.tab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4.xml" ContentType="application/vnd.openxmlformats-officedocument.drawing+xml"/>
  <Override PartName="/xl/tables/table6.xml" ContentType="application/vnd.openxmlformats-officedocument.spreadsheetml.tab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5.xml" ContentType="application/vnd.openxmlformats-officedocument.drawing+xml"/>
  <Override PartName="/xl/tables/table7.xml" ContentType="application/vnd.openxmlformats-officedocument.spreadsheetml.tab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xml" ContentType="application/vnd.openxmlformats-officedocument.drawing+xml"/>
  <Override PartName="/xl/tables/table8.xml" ContentType="application/vnd.openxmlformats-officedocument.spreadsheetml.table+xml"/>
  <Override PartName="/xl/charts/chartEx3.xml" ContentType="application/vnd.ms-office.chartex+xml"/>
  <Override PartName="/xl/charts/style10.xml" ContentType="application/vnd.ms-office.chartstyle+xml"/>
  <Override PartName="/xl/charts/colors10.xml" ContentType="application/vnd.ms-office.chartcolorstyle+xml"/>
  <Override PartName="/xl/charts/chartEx4.xml" ContentType="application/vnd.ms-office.chartex+xml"/>
  <Override PartName="/xl/charts/style11.xml" ContentType="application/vnd.ms-office.chartstyle+xml"/>
  <Override PartName="/xl/charts/colors11.xml" ContentType="application/vnd.ms-office.chartcolorsty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autoCompressPictures="0"/>
  <mc:AlternateContent xmlns:mc="http://schemas.openxmlformats.org/markup-compatibility/2006">
    <mc:Choice Requires="x15">
      <x15ac:absPath xmlns:x15ac="http://schemas.microsoft.com/office/spreadsheetml/2010/11/ac" url="https://d.docs.live.net/dd6805ca7ed40806/Documents/14_AMU/BUSN299/W5_W6/Weeks 5 and 6 Analyzing Spreadsheet Data attached files Jan 6^J 2026 302 PM/"/>
    </mc:Choice>
  </mc:AlternateContent>
  <xr:revisionPtr revIDLastSave="630" documentId="11_2891487AF108CFC9384738F43C82BBA131974E5D" xr6:coauthVersionLast="47" xr6:coauthVersionMax="47" xr10:uidLastSave="{36B33EAE-20A7-4871-9A80-836500A12974}"/>
  <bookViews>
    <workbookView xWindow="-120" yWindow="-120" windowWidth="29040" windowHeight="15720" tabRatio="655" xr2:uid="{00000000-000D-0000-FFFF-FFFF00000000}"/>
  </bookViews>
  <sheets>
    <sheet name="Database 1 &amp; Instructions" sheetId="1" r:id="rId1"/>
    <sheet name="Job 7.1" sheetId="2" r:id="rId2"/>
    <sheet name="Job 7.2" sheetId="3" r:id="rId3"/>
    <sheet name="Job 7.3" sheetId="4" r:id="rId4"/>
    <sheet name="Job 7.4" sheetId="5" r:id="rId5"/>
    <sheet name="Database 2  &amp; Instructions" sheetId="13" r:id="rId6"/>
    <sheet name="Database 3 &amp; Instructions" sheetId="14" r:id="rId7"/>
  </sheets>
  <definedNames>
    <definedName name="_xlchart.v1.0" hidden="1">'Job 7.3'!$B$15:$B$155</definedName>
    <definedName name="_xlchart.v1.1" hidden="1">'Job 7.3'!$C$14</definedName>
    <definedName name="_xlchart.v1.10" hidden="1">'Job 7.3'!$B$15:$B$155</definedName>
    <definedName name="_xlchart.v1.11" hidden="1">'Job 7.3'!$C$14</definedName>
    <definedName name="_xlchart.v1.12" hidden="1">'Job 7.3'!$C$15:$C$155</definedName>
    <definedName name="_xlchart.v1.13" hidden="1">'Job 7.3'!$D$14</definedName>
    <definedName name="_xlchart.v1.14" hidden="1">'Job 7.3'!$D$15:$D$155</definedName>
    <definedName name="_xlchart.v1.15" hidden="1">'Job 7.3'!$B$15:$B$155</definedName>
    <definedName name="_xlchart.v1.16" hidden="1">'Job 7.3'!$C$14</definedName>
    <definedName name="_xlchart.v1.17" hidden="1">'Job 7.3'!$C$15:$C$155</definedName>
    <definedName name="_xlchart.v1.18" hidden="1">'Job 7.3'!$D$14</definedName>
    <definedName name="_xlchart.v1.19" hidden="1">'Job 7.3'!$D$15:$D$155</definedName>
    <definedName name="_xlchart.v1.2" hidden="1">'Job 7.3'!$C$15:$C$155</definedName>
    <definedName name="_xlchart.v1.20" hidden="1">'Job 7.3'!$B$15:$B$155</definedName>
    <definedName name="_xlchart.v1.21" hidden="1">'Job 7.3'!$C$14</definedName>
    <definedName name="_xlchart.v1.22" hidden="1">'Job 7.3'!$C$15:$C$155</definedName>
    <definedName name="_xlchart.v1.23" hidden="1">'Job 7.3'!$D$14</definedName>
    <definedName name="_xlchart.v1.24" hidden="1">'Job 7.3'!$D$15:$D$155</definedName>
    <definedName name="_xlchart.v1.25" hidden="1">'Job 7.3'!$B$15:$B$155</definedName>
    <definedName name="_xlchart.v1.26" hidden="1">'Job 7.3'!$C$14</definedName>
    <definedName name="_xlchart.v1.27" hidden="1">'Job 7.3'!$C$15:$C$155</definedName>
    <definedName name="_xlchart.v1.28" hidden="1">'Job 7.3'!$D$14</definedName>
    <definedName name="_xlchart.v1.29" hidden="1">'Job 7.3'!$D$15:$D$155</definedName>
    <definedName name="_xlchart.v1.3" hidden="1">'Job 7.3'!$D$14</definedName>
    <definedName name="_xlchart.v1.30" hidden="1">'Job 7.3'!$B$15:$B$155</definedName>
    <definedName name="_xlchart.v1.31" hidden="1">'Job 7.3'!$C$14</definedName>
    <definedName name="_xlchart.v1.32" hidden="1">'Job 7.3'!$C$15:$C$155</definedName>
    <definedName name="_xlchart.v1.33" hidden="1">'Job 7.3'!$D$14</definedName>
    <definedName name="_xlchart.v1.34" hidden="1">'Job 7.3'!$D$15:$D$155</definedName>
    <definedName name="_xlchart.v1.35" hidden="1">'Job 7.3'!$B$15:$B$155</definedName>
    <definedName name="_xlchart.v1.36" hidden="1">'Job 7.3'!$C$14</definedName>
    <definedName name="_xlchart.v1.37" hidden="1">'Job 7.3'!$C$15:$C$155</definedName>
    <definedName name="_xlchart.v1.38" hidden="1">'Job 7.3'!$D$14</definedName>
    <definedName name="_xlchart.v1.39" hidden="1">'Job 7.3'!$D$15:$D$155</definedName>
    <definedName name="_xlchart.v1.4" hidden="1">'Job 7.3'!$D$15:$D$155</definedName>
    <definedName name="_xlchart.v1.40" hidden="1">'Job 7.3'!$B$15:$B$155</definedName>
    <definedName name="_xlchart.v1.41" hidden="1">'Job 7.3'!$C$14</definedName>
    <definedName name="_xlchart.v1.42" hidden="1">'Job 7.3'!$C$15:$C$155</definedName>
    <definedName name="_xlchart.v1.43" hidden="1">'Job 7.3'!$D$14</definedName>
    <definedName name="_xlchart.v1.44" hidden="1">'Job 7.3'!$D$15:$D$155</definedName>
    <definedName name="_xlchart.v1.45" hidden="1">'Database 3 &amp; Instructions'!$B$4:$B$97</definedName>
    <definedName name="_xlchart.v1.46" hidden="1">'Database 3 &amp; Instructions'!$C$4:$C$97</definedName>
    <definedName name="_xlchart.v1.47" hidden="1">'Database 3 &amp; Instructions'!$A$4:$A$97</definedName>
    <definedName name="_xlchart.v1.48" hidden="1">'Database 3 &amp; Instructions'!$C$4:$C$97</definedName>
    <definedName name="_xlchart.v1.5" hidden="1">'Job 7.3'!$B$15:$B$155</definedName>
    <definedName name="_xlchart.v1.6" hidden="1">'Job 7.3'!$C$14</definedName>
    <definedName name="_xlchart.v1.7" hidden="1">'Job 7.3'!$C$15:$C$155</definedName>
    <definedName name="_xlchart.v1.8" hidden="1">'Job 7.3'!$D$14</definedName>
    <definedName name="_xlchart.v1.9" hidden="1">'Job 7.3'!$D$15:$D$155</definedName>
  </definedNames>
  <calcPr calcId="191029" concurrentCalc="0"/>
  <pivotCaches>
    <pivotCache cacheId="48" r:id="rId8"/>
    <pivotCache cacheId="74" r:id="rId9"/>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G14" i="3" l="1"/>
  <c r="G15" i="3"/>
  <c r="G16" i="3"/>
  <c r="G17" i="3"/>
  <c r="G18" i="3"/>
  <c r="G19" i="3"/>
  <c r="G20" i="3"/>
  <c r="G21" i="3"/>
  <c r="G22" i="3"/>
  <c r="G23" i="3"/>
  <c r="G24" i="3"/>
  <c r="G25" i="3"/>
  <c r="G14" i="2"/>
  <c r="G15" i="2"/>
  <c r="G16" i="2"/>
  <c r="G17" i="2"/>
  <c r="G18" i="2"/>
  <c r="G19" i="2"/>
  <c r="G20" i="2"/>
  <c r="G21" i="2"/>
  <c r="G22" i="2"/>
  <c r="G23" i="2"/>
  <c r="G24" i="2"/>
  <c r="G25" i="2"/>
</calcChain>
</file>

<file path=xl/sharedStrings.xml><?xml version="1.0" encoding="utf-8"?>
<sst xmlns="http://schemas.openxmlformats.org/spreadsheetml/2006/main" count="3023" uniqueCount="181">
  <si>
    <t>Year</t>
  </si>
  <si>
    <t>Temperature</t>
  </si>
  <si>
    <t>January</t>
  </si>
  <si>
    <t>February</t>
  </si>
  <si>
    <t>March</t>
  </si>
  <si>
    <t>April</t>
  </si>
  <si>
    <t>May</t>
  </si>
  <si>
    <t>June</t>
  </si>
  <si>
    <t>July</t>
  </si>
  <si>
    <t>August</t>
  </si>
  <si>
    <t>September</t>
  </si>
  <si>
    <t>October</t>
  </si>
  <si>
    <t>November</t>
  </si>
  <si>
    <t>December</t>
  </si>
  <si>
    <t>Month</t>
  </si>
  <si>
    <t>Average Temperatures by month For Washington D.C. between 1990 and 2001</t>
  </si>
  <si>
    <t>Create a Pivot Table with the months as rows, the final column is a Grand Total Average by month and</t>
  </si>
  <si>
    <t xml:space="preserve">   The final row is a grand total average by year</t>
  </si>
  <si>
    <t>Use the sort function to reorder the data by month, then use a formula to calculate the average temperature by month between 1990 and 2001.  Next create a table of the average temperatures by month.  Finally create a scatter plot of the data</t>
  </si>
  <si>
    <t xml:space="preserve">Use the sort function to reorder the data by year, then use a formula to calculate the average temperature by year between 1990 and 2001.  Next Create a table of the average temperature by year.  Finally create a scatter plot of the data </t>
  </si>
  <si>
    <t>Create a histogram of the temperatures creating 10 "bins" adding a title "Washington D.C. Temperatures" and change the color of the background and bars to your favorite College Football team colors</t>
  </si>
  <si>
    <t xml:space="preserve">Monthly </t>
  </si>
  <si>
    <t>Average</t>
  </si>
  <si>
    <t xml:space="preserve">Finally, explain what you see in the data regarding the average temperature by month in Washington D.C. </t>
  </si>
  <si>
    <t>Step-by-step instructions for Job 7.1</t>
  </si>
  <si>
    <t>Step-by-step instructions for Job 7.2</t>
  </si>
  <si>
    <t xml:space="preserve">Finally, explain what you see in the data regarding the average temperature by year in Washington D.C. </t>
  </si>
  <si>
    <t xml:space="preserve">Yearly </t>
  </si>
  <si>
    <t>Then use the "Insert" Line chart to creat a line chart beside the table showing the trend graphicaly by year</t>
  </si>
  <si>
    <t>Then, use the "Insert - Recommended charts - All Charts - Histogram" to create a histogram of all the data</t>
  </si>
  <si>
    <t>Do a little research online regarding how to read a histogram and explain what you see in the chart</t>
  </si>
  <si>
    <t>Step-by-step instructions for Job 7.3</t>
  </si>
  <si>
    <t>Step-by-step instructions for Job 7.4</t>
  </si>
  <si>
    <t>In this worksheet you will create a Pivot-table and pivot chart</t>
  </si>
  <si>
    <t>Start in "Insert - Pivot Table &amp; Chart"</t>
  </si>
  <si>
    <t>Explain what the pivot chart tells you and how it relates to the two tables and charts you have already created in Jobs 7.1 and 7.2</t>
  </si>
  <si>
    <t xml:space="preserve"> </t>
  </si>
  <si>
    <t>Job 7.1</t>
  </si>
  <si>
    <t>Job 7.2</t>
  </si>
  <si>
    <t>Job 7.3</t>
  </si>
  <si>
    <t>Job 7.4</t>
  </si>
  <si>
    <t/>
  </si>
  <si>
    <t>Sort the data by month (Use "Sort &amp; Filter), then create a table as you see below and use the "@average" formula and the reorganized data to get the average by month.</t>
  </si>
  <si>
    <t>Then use the "Insert -&gt; Line chart" to creat a line chart beside the table showing the trend graphicaly by month</t>
  </si>
  <si>
    <t>You do not need to sort the data for this job. In this worksheet you will create a histogram of all of the temperatures</t>
  </si>
  <si>
    <t>Once the chart is completed and inserted in the space below, click on the bars and change the "binning" to 7 bins, and change the color of the bars to your College Football team colors (yes, for real)</t>
  </si>
  <si>
    <t>In this worksheet you will use  the data sorted by year, as it should already be, to create a table as below.  Again, use the @average formula and the reorganized data to get the average by year.</t>
  </si>
  <si>
    <t>Use the database to the left for all of  Jobs 7.1, 7.2, 7.3, and 7.4</t>
  </si>
  <si>
    <t>Job 7.5</t>
  </si>
  <si>
    <t>Job 7.6</t>
  </si>
  <si>
    <t>Use the tab marked Job 7.1 and start by copying the raw data to this worksheet.  You may also want to copy these instructions and the table below.</t>
  </si>
  <si>
    <t xml:space="preserve">Use the tab marked Job 7.4, copy the raw data to this tab. You may also want to copy these instructions </t>
  </si>
  <si>
    <t>Use the tab marked Job 7. 3, copy the raw data to this tab.  Also copy these instructions.</t>
  </si>
  <si>
    <t xml:space="preserve">Use the tab marked Job 7. 2, copy the raw data to this tab.  You may want to copy the instructions and the table below also.  </t>
  </si>
  <si>
    <t>Region</t>
  </si>
  <si>
    <t xml:space="preserve">Payment </t>
  </si>
  <si>
    <t>Source</t>
  </si>
  <si>
    <t>Amount</t>
  </si>
  <si>
    <t>Product</t>
  </si>
  <si>
    <t>East</t>
  </si>
  <si>
    <t>Credit</t>
  </si>
  <si>
    <t>Web</t>
  </si>
  <si>
    <t>Book</t>
  </si>
  <si>
    <t>Paypal</t>
  </si>
  <si>
    <t>Email</t>
  </si>
  <si>
    <t>DVD</t>
  </si>
  <si>
    <t>West</t>
  </si>
  <si>
    <t>North</t>
  </si>
  <si>
    <t>South</t>
  </si>
  <si>
    <t>Start the next four "Jobs" by looking over the instructions below.  There are instructions that continue on down, so look for them all.</t>
  </si>
  <si>
    <r>
      <t>Insert the month data for the rows and the year data for the columns, and put the "Temperature" in as the "</t>
    </r>
    <r>
      <rPr>
        <b/>
        <sz val="10"/>
        <rFont val="Calibri"/>
        <family val="2"/>
      </rPr>
      <t>∑</t>
    </r>
    <r>
      <rPr>
        <b/>
        <sz val="10"/>
        <rFont val="Arial"/>
        <family val="2"/>
      </rPr>
      <t xml:space="preserve"> Value." Change the "Value Field Setting" to the Max Temperature</t>
    </r>
  </si>
  <si>
    <t>Compare the data you obtained in Job 5 with that you found in Job 6 and explain what you see off to the side of the pivot table and graph</t>
  </si>
  <si>
    <t xml:space="preserve">Supplier </t>
  </si>
  <si>
    <t>Item Description</t>
  </si>
  <si>
    <t>Cost per order</t>
  </si>
  <si>
    <t>Manley Valve</t>
  </si>
  <si>
    <t>Door Decal</t>
  </si>
  <si>
    <t>Hulkey Fasteners</t>
  </si>
  <si>
    <t>Hatch Decal</t>
  </si>
  <si>
    <t>Panel Decal</t>
  </si>
  <si>
    <t>Spacetime Technologies</t>
  </si>
  <si>
    <t>O-Ring</t>
  </si>
  <si>
    <t>Fast-Tie Aerospace</t>
  </si>
  <si>
    <t>Pylon Accessories</t>
  </si>
  <si>
    <t>Durrable Products</t>
  </si>
  <si>
    <t>Gasket</t>
  </si>
  <si>
    <t>Electrical Connector</t>
  </si>
  <si>
    <t>Steelpin Inc.</t>
  </si>
  <si>
    <t>Pressure Gauge</t>
  </si>
  <si>
    <t>Bolt-nut package</t>
  </si>
  <si>
    <t>Shielded Cable/ft.</t>
  </si>
  <si>
    <t>Alum Sheeting</t>
  </si>
  <si>
    <t>Side Panel</t>
  </si>
  <si>
    <t>Airframe fasteners</t>
  </si>
  <si>
    <t>Machined Valve</t>
  </si>
  <si>
    <t>Control Panel</t>
  </si>
  <si>
    <t>Job 7.7</t>
  </si>
  <si>
    <t>For this analysis, you will create two Pareto charts and then compare them for your analysis</t>
  </si>
  <si>
    <t>Step-by-step instructions for Job 7.7</t>
  </si>
  <si>
    <t>Use the database to the left for this analysis</t>
  </si>
  <si>
    <t>This database has all of the purchases from a variety of suppliers for 8 different products</t>
  </si>
  <si>
    <t xml:space="preserve">With the two columns highlighted, go to the banner above and </t>
  </si>
  <si>
    <t>For this next analysis highlight "Item Description" and Cost Per order</t>
  </si>
  <si>
    <t>Step 5</t>
  </si>
  <si>
    <t>Answer the following questions:</t>
  </si>
  <si>
    <t>What products make up 80% of all orders?</t>
  </si>
  <si>
    <t>What suppliers do approximately 80% of all orders come from?</t>
  </si>
  <si>
    <t>Which products amount to less than 10% of all orders</t>
  </si>
  <si>
    <t>Which suppliers supply less than 10% of all orders?</t>
  </si>
  <si>
    <t>How could this analysis be used in your job?</t>
  </si>
  <si>
    <t>Answers</t>
  </si>
  <si>
    <t>go to "insert" -&gt; "Recommended charts" -&gt; "All Charts" -&gt; and  you will see two options, select the 'Pareto" option</t>
  </si>
  <si>
    <t>Insert and then expand the chart  right below this step</t>
  </si>
  <si>
    <t>Purchase Orders by Supplier and Item description for September, 2016</t>
  </si>
  <si>
    <t>and insert the same type of chart (Pareto Analysis) below this step</t>
  </si>
  <si>
    <t>Step-by-Step Instructions for Jobs 5 &amp; 6</t>
  </si>
  <si>
    <r>
      <t xml:space="preserve">Change the </t>
    </r>
    <r>
      <rPr>
        <b/>
        <sz val="10"/>
        <rFont val="Calibri"/>
        <family val="2"/>
      </rPr>
      <t>∑</t>
    </r>
    <r>
      <rPr>
        <b/>
        <sz val="10"/>
        <rFont val="Arial"/>
        <family val="2"/>
      </rPr>
      <t xml:space="preserve"> Values to "count" This tells you how many of each product was sold in each region</t>
    </r>
  </si>
  <si>
    <t>In the space directly below, create a Pivot Table and chart of the Sales by region (region is the row) and by product (DVD and Book are the two columns)</t>
  </si>
  <si>
    <t>You will analyze jobs 5 and 6 togeather</t>
  </si>
  <si>
    <t>Online Sales of Books and DVDs by region</t>
  </si>
  <si>
    <t xml:space="preserve">Start the next two jobs by looking over the instructions below. </t>
  </si>
  <si>
    <t>In the space directly below, create another pivot table and chart of the region (rows) and products (DVD and Book are the columns),</t>
  </si>
  <si>
    <t xml:space="preserve">This time  change the "∑ Values" to  Average Amount </t>
  </si>
  <si>
    <t>Highlight the entire database (Five columns on the left).</t>
  </si>
  <si>
    <t>Go to "Insert" and "PivotChart "  Use the option for table and chart</t>
  </si>
  <si>
    <t>Insert regions in the rows and Products in the columns</t>
  </si>
  <si>
    <t xml:space="preserve">In the  ∑ Values enter "Amount" and then change the option to "count" </t>
  </si>
  <si>
    <t>If there isn't enough room below, move Job 6 down to allow room for both the table and the chart</t>
  </si>
  <si>
    <t>Again, highlight the entire database (Five columns on the left).</t>
  </si>
  <si>
    <t xml:space="preserve">For this chart, insert Amount into the "∑ Values" and change this to "Average Amount" </t>
  </si>
  <si>
    <t>Now, compare the two charts and tables and draw some conclusions about what is going on in the four retions</t>
  </si>
  <si>
    <t xml:space="preserve">The first pareto analysis will look at the "Cost per order" by "supplier" </t>
  </si>
  <si>
    <t xml:space="preserve">   First highlight the supplier column from top to bottom, then</t>
  </si>
  <si>
    <t xml:space="preserve">   move your curser back to the top, hold the control key down on you pc</t>
  </si>
  <si>
    <r>
      <t xml:space="preserve">Start by highlighting only the "Supplier" and "Cost per order" columns </t>
    </r>
    <r>
      <rPr>
        <b/>
        <u/>
        <sz val="10"/>
        <rFont val="Arial"/>
        <family val="2"/>
      </rPr>
      <t>Note: also highlight the headings</t>
    </r>
  </si>
  <si>
    <t xml:space="preserve">   and highlight the cost per order column from top to bottom</t>
  </si>
  <si>
    <t>Row Labels</t>
  </si>
  <si>
    <t>Grand Total</t>
  </si>
  <si>
    <t>Average of Temperature</t>
  </si>
  <si>
    <t>Monthly Avg Temp</t>
  </si>
  <si>
    <t>Finally create a scatter plot of the data.</t>
  </si>
  <si>
    <t>2. Sort the data by month (Use "Sort &amp; Filter), then create a table as you see below and use the "@average" formula and the reorganized data to get the average by month.</t>
  </si>
  <si>
    <t>INSTRUCTIONS:</t>
  </si>
  <si>
    <t xml:space="preserve">Job 7.1 </t>
  </si>
  <si>
    <t>Use the sort function to reorder the data by month, then use a formula to calculate the average temperature by month between 1990 and 2001.</t>
  </si>
  <si>
    <t>Next create a table of the average temperatures by month.</t>
  </si>
  <si>
    <t>3. Then use the "Insert -&gt; Line chart" to creat a line chart beside the table showing the trend graphicaly by month.</t>
  </si>
  <si>
    <t xml:space="preserve">4. Finally, explain what you see in the data regarding the average temperature by month in Washington D.C.  </t>
  </si>
  <si>
    <t>1. Use the tab marked Job 7.1 and start by copying the raw data to this worksheet. You may also want to copy these instructions and the table below.</t>
  </si>
  <si>
    <t xml:space="preserve">Use the sort function to reorder the data by year, then use a formula to calculate the average temperature by year between 1990 and 2001. </t>
  </si>
  <si>
    <t>Next Create a table of the average temperature by year.</t>
  </si>
  <si>
    <t>2. In this worksheet you will use  the data sorted by year, as it should already be, to create a table as below.  Again, use the @average formula and the reorganized data to get the average by year.</t>
  </si>
  <si>
    <t>3. Then use the "Insert" Line chart to creat a line chart beside the table showing the trend graphicaly by year</t>
  </si>
  <si>
    <t>4. Finally, explain what you see in the data regarding the average temperature by year in Washington D.C.</t>
  </si>
  <si>
    <t>Yearly Avg Temp</t>
  </si>
  <si>
    <t xml:space="preserve">1. Use the tab marked Job 7.2, copy the raw data to this tab.  You may want to copy the instructions and the table below also.  </t>
  </si>
  <si>
    <t>Create a histogram of the temperatures creating 10 "bins"</t>
  </si>
  <si>
    <t xml:space="preserve">Adding a title "Washington D.C. Temperatures" </t>
  </si>
  <si>
    <t>And change the color of the background and bars to your favorite College Football team colors</t>
  </si>
  <si>
    <t>1. Use the tab marked Job 7. 3, copy the raw data to this tab.  Also copy these instructions.</t>
  </si>
  <si>
    <t>2. You do not need to sort the data for this job. In this worksheet you will create a histogram of all of the temperatures</t>
  </si>
  <si>
    <t>3. Then, use the "Insert - Recommended charts - All Charts - Histogram" to create a histogram of all the data</t>
  </si>
  <si>
    <t>4. Once the chart is completed and inserted in the space below, click on the bars and change the "binning" to 7 bins, and change the color of the bars to your College Football team colors (yes, for real)</t>
  </si>
  <si>
    <t>5. Do a little research online regarding how to read a histogram and explain what you see in the chart</t>
  </si>
  <si>
    <t>The final row is a grand total average by year</t>
  </si>
  <si>
    <t>Create a Pivot Table with the months as rows</t>
  </si>
  <si>
    <t>The final column is a Grand Total Average by month</t>
  </si>
  <si>
    <t xml:space="preserve">1. Use the tab marked Job 7.4, copy the raw data to this tab. You may also want to copy these instructions </t>
  </si>
  <si>
    <t>2. In this worksheet you will create a Pivot-table and pivot chart</t>
  </si>
  <si>
    <t>3. Start in "Insert - Pivot Table &amp; Chart"</t>
  </si>
  <si>
    <t>4. Insert the month data for the rows and the year data for the columns, and put the "Temperature" in as the "∑ Value." Change the "Value Field Setting" to the Max Temperature</t>
  </si>
  <si>
    <t>5. Explain what the pivot chart tells you and how it relates to the two tables and charts you have already created in Jobs 7.1 and 7.2</t>
  </si>
  <si>
    <t>Column Labels</t>
  </si>
  <si>
    <t>Max of Temperature</t>
  </si>
  <si>
    <t>Count of Amount</t>
  </si>
  <si>
    <t>Average of Amount</t>
  </si>
  <si>
    <t>Hulkey Fasteners, Steelpin Inc., Spacetime Technologies, and Fast-Tie Aerospace</t>
  </si>
  <si>
    <t>Airframe Fasteners, Machined Valve, Control Panel, Bolt-nut Package, and Shielded Cable/ft.</t>
  </si>
  <si>
    <t>Manley Valve and Pylon Accessories</t>
  </si>
  <si>
    <t>Door Decal, Hatch Decal, Panel Decal, and O-Ring</t>
  </si>
  <si>
    <t>Pareto analysis helps prioritize resources by identifying the "vital few" versus the "trivial many." In supply chain management, this would help focus supplier relationship efforts on the top 4 suppliers who provide 80% of order value. For inventory management, it identifies which products to monitor most closely. This 80/20 principle can improve negotiating leverage, reduce procurement complexity, and optimize inventory investment by concentrating attention where it has the greatest financial impact.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</si>
</sst>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1" x14ac:knownFonts="1">
    <font>
      <sz val="10"/>
      <name val="Arial"/>
    </font>
    <font>
      <sz val="12"/>
      <color theme="1"/>
      <name val="Calibri"/>
      <family val="2"/>
      <scheme val="minor"/>
    </font>
    <font>
      <b/>
      <sz val="10"/>
      <name val="Arial"/>
      <family val="2"/>
    </font>
    <font>
      <sz val="10"/>
      <name val="Arial"/>
      <family val="2"/>
    </font>
    <font>
      <sz val="12"/>
      <color rgb="FF006100"/>
      <name val="Calibri"/>
      <family val="2"/>
      <scheme val="minor"/>
    </font>
    <font>
      <sz val="12"/>
      <color rgb="FF9C5700"/>
      <name val="Calibri"/>
      <family val="2"/>
      <scheme val="minor"/>
    </font>
    <font>
      <b/>
      <sz val="12"/>
      <color rgb="FF3F3F3F"/>
      <name val="Calibri"/>
      <family val="2"/>
      <scheme val="minor"/>
    </font>
    <font>
      <b/>
      <sz val="12"/>
      <color theme="1"/>
      <name val="Calibri"/>
      <family val="2"/>
      <scheme val="minor"/>
    </font>
    <font>
      <b/>
      <sz val="10"/>
      <color rgb="FFFF0000"/>
      <name val="Arial"/>
      <family val="2"/>
    </font>
    <font>
      <b/>
      <sz val="14"/>
      <color theme="1"/>
      <name val="Calibri"/>
      <family val="2"/>
      <scheme val="minor"/>
    </font>
    <font>
      <b/>
      <sz val="12"/>
      <color rgb="FF006100"/>
      <name val="Calibri"/>
      <family val="2"/>
      <scheme val="minor"/>
    </font>
    <font>
      <b/>
      <sz val="12"/>
      <color rgb="FF9C5700"/>
      <name val="Calibri"/>
      <family val="2"/>
      <scheme val="minor"/>
    </font>
    <font>
      <sz val="12"/>
      <color rgb="FF3F3F76"/>
      <name val="Calibri"/>
      <family val="2"/>
      <scheme val="minor"/>
    </font>
    <font>
      <b/>
      <sz val="10"/>
      <name val="Calibri"/>
      <family val="2"/>
    </font>
    <font>
      <b/>
      <u/>
      <sz val="10"/>
      <name val="Arial"/>
      <family val="2"/>
    </font>
    <font>
      <b/>
      <sz val="12"/>
      <name val="Arial"/>
      <family val="2"/>
    </font>
    <font>
      <b/>
      <sz val="12"/>
      <color rgb="FF3F3F76"/>
      <name val="Calibri"/>
      <family val="2"/>
      <scheme val="minor"/>
    </font>
    <font>
      <sz val="8"/>
      <name val="Arial"/>
      <family val="2"/>
    </font>
    <font>
      <b/>
      <sz val="16"/>
      <color theme="0"/>
      <name val="Arial"/>
      <family val="2"/>
    </font>
    <font>
      <b/>
      <sz val="12"/>
      <color rgb="FF000000"/>
      <name val="Arial"/>
      <family val="2"/>
    </font>
    <font>
      <sz val="12"/>
      <name val="Arial"/>
      <family val="2"/>
    </font>
  </fonts>
  <fills count="11">
    <fill>
      <patternFill patternType="none"/>
    </fill>
    <fill>
      <patternFill patternType="gray125"/>
    </fill>
    <fill>
      <patternFill patternType="solid">
        <fgColor rgb="FFC6EFCE"/>
      </patternFill>
    </fill>
    <fill>
      <patternFill patternType="solid">
        <fgColor rgb="FFFFEB9C"/>
      </patternFill>
    </fill>
    <fill>
      <patternFill patternType="solid">
        <fgColor rgb="FFF2F2F2"/>
      </patternFill>
    </fill>
    <fill>
      <patternFill patternType="solid">
        <fgColor rgb="FFFFFFCC"/>
      </patternFill>
    </fill>
    <fill>
      <patternFill patternType="solid">
        <fgColor theme="5" tint="0.79998168889431442"/>
        <bgColor indexed="65"/>
      </patternFill>
    </fill>
    <fill>
      <patternFill patternType="solid">
        <fgColor rgb="FFFFCC99"/>
      </patternFill>
    </fill>
    <fill>
      <patternFill patternType="solid">
        <fgColor theme="4"/>
        <bgColor indexed="64"/>
      </patternFill>
    </fill>
    <fill>
      <patternFill patternType="solid">
        <fgColor theme="4" tint="0.59999389629810485"/>
        <bgColor indexed="64"/>
      </patternFill>
    </fill>
    <fill>
      <patternFill patternType="solid">
        <fgColor theme="4" tint="0.79998168889431442"/>
        <bgColor indexed="64"/>
      </patternFill>
    </fill>
  </fills>
  <borders count="27">
    <border>
      <left/>
      <right/>
      <top/>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7F7F7F"/>
      </left>
      <right style="thin">
        <color rgb="FF7F7F7F"/>
      </right>
      <top style="thin">
        <color rgb="FF7F7F7F"/>
      </top>
      <bottom style="thin">
        <color rgb="FF7F7F7F"/>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theme="4"/>
      </left>
      <right/>
      <top style="medium">
        <color theme="4"/>
      </top>
      <bottom/>
      <diagonal/>
    </border>
    <border>
      <left/>
      <right/>
      <top style="medium">
        <color theme="4"/>
      </top>
      <bottom/>
      <diagonal/>
    </border>
    <border>
      <left/>
      <right style="medium">
        <color theme="4"/>
      </right>
      <top style="medium">
        <color theme="4"/>
      </top>
      <bottom/>
      <diagonal/>
    </border>
    <border>
      <left style="medium">
        <color theme="4"/>
      </left>
      <right/>
      <top/>
      <bottom/>
      <diagonal/>
    </border>
    <border>
      <left/>
      <right style="medium">
        <color theme="4"/>
      </right>
      <top/>
      <bottom/>
      <diagonal/>
    </border>
    <border>
      <left style="medium">
        <color theme="4"/>
      </left>
      <right/>
      <top/>
      <bottom style="medium">
        <color theme="4"/>
      </bottom>
      <diagonal/>
    </border>
    <border>
      <left/>
      <right/>
      <top/>
      <bottom style="medium">
        <color theme="4"/>
      </bottom>
      <diagonal/>
    </border>
    <border>
      <left/>
      <right style="medium">
        <color theme="4"/>
      </right>
      <top/>
      <bottom style="medium">
        <color theme="4"/>
      </bottom>
      <diagonal/>
    </border>
    <border>
      <left style="medium">
        <color theme="4"/>
      </left>
      <right/>
      <top style="medium">
        <color theme="4"/>
      </top>
      <bottom style="medium">
        <color theme="4"/>
      </bottom>
      <diagonal/>
    </border>
    <border>
      <left/>
      <right/>
      <top style="medium">
        <color theme="4"/>
      </top>
      <bottom style="medium">
        <color theme="4"/>
      </bottom>
      <diagonal/>
    </border>
    <border>
      <left/>
      <right style="medium">
        <color theme="4"/>
      </right>
      <top style="medium">
        <color theme="4"/>
      </top>
      <bottom style="medium">
        <color theme="4"/>
      </bottom>
      <diagonal/>
    </border>
    <border>
      <left style="thin">
        <color rgb="FFB2B2B2"/>
      </left>
      <right/>
      <top/>
      <bottom/>
      <diagonal/>
    </border>
  </borders>
  <cellStyleXfs count="7">
    <xf numFmtId="0" fontId="0" fillId="0" borderId="0"/>
    <xf numFmtId="0" fontId="4" fillId="2" borderId="0" applyNumberFormat="0" applyBorder="0" applyAlignment="0" applyProtection="0"/>
    <xf numFmtId="0" fontId="5" fillId="3" borderId="0" applyNumberFormat="0" applyBorder="0" applyAlignment="0" applyProtection="0"/>
    <xf numFmtId="0" fontId="6" fillId="4" borderId="1" applyNumberFormat="0" applyAlignment="0" applyProtection="0"/>
    <xf numFmtId="0" fontId="3" fillId="5" borderId="2" applyNumberFormat="0" applyFont="0" applyAlignment="0" applyProtection="0"/>
    <xf numFmtId="0" fontId="1" fillId="6" borderId="0" applyNumberFormat="0" applyBorder="0" applyAlignment="0" applyProtection="0"/>
    <xf numFmtId="0" fontId="12" fillId="7" borderId="6" applyNumberFormat="0" applyAlignment="0" applyProtection="0"/>
  </cellStyleXfs>
  <cellXfs count="69">
    <xf numFmtId="0" fontId="0" fillId="0" borderId="0" xfId="0"/>
    <xf numFmtId="0" fontId="2" fillId="0" borderId="0" xfId="0" applyFont="1"/>
    <xf numFmtId="164" fontId="0" fillId="0" borderId="0" xfId="0" applyNumberFormat="1"/>
    <xf numFmtId="0" fontId="2" fillId="0" borderId="0" xfId="0" applyFont="1" applyAlignment="1">
      <alignment horizontal="right"/>
    </xf>
    <xf numFmtId="164" fontId="2" fillId="0" borderId="0" xfId="0" applyNumberFormat="1" applyFont="1"/>
    <xf numFmtId="0" fontId="2" fillId="0" borderId="0" xfId="0" applyFont="1" applyAlignment="1">
      <alignment horizontal="left"/>
    </xf>
    <xf numFmtId="0" fontId="8" fillId="0" borderId="0" xfId="0" applyFont="1"/>
    <xf numFmtId="0" fontId="2" fillId="5" borderId="2" xfId="4" applyFont="1"/>
    <xf numFmtId="0" fontId="6" fillId="4" borderId="1" xfId="3" applyAlignment="1">
      <alignment horizontal="center"/>
    </xf>
    <xf numFmtId="0" fontId="6" fillId="4" borderId="1" xfId="3"/>
    <xf numFmtId="2" fontId="6" fillId="4" borderId="1" xfId="3" applyNumberFormat="1"/>
    <xf numFmtId="2" fontId="6" fillId="4" borderId="1" xfId="3" quotePrefix="1" applyNumberFormat="1"/>
    <xf numFmtId="0" fontId="9" fillId="6" borderId="3" xfId="5" applyFont="1" applyBorder="1"/>
    <xf numFmtId="0" fontId="9" fillId="6" borderId="4" xfId="5" applyFont="1" applyBorder="1"/>
    <xf numFmtId="0" fontId="9" fillId="6" borderId="5" xfId="5" applyFont="1" applyBorder="1"/>
    <xf numFmtId="0" fontId="7" fillId="6" borderId="3" xfId="5" applyFont="1" applyBorder="1"/>
    <xf numFmtId="0" fontId="7" fillId="6" borderId="4" xfId="5" applyFont="1" applyBorder="1"/>
    <xf numFmtId="0" fontId="7" fillId="6" borderId="5" xfId="5" applyFont="1" applyBorder="1"/>
    <xf numFmtId="0" fontId="3" fillId="0" borderId="0" xfId="0" applyFont="1"/>
    <xf numFmtId="0" fontId="5" fillId="3" borderId="8" xfId="2" applyBorder="1"/>
    <xf numFmtId="0" fontId="5" fillId="3" borderId="9" xfId="2" applyBorder="1"/>
    <xf numFmtId="0" fontId="5" fillId="3" borderId="0" xfId="2" applyBorder="1"/>
    <xf numFmtId="0" fontId="5" fillId="3" borderId="11" xfId="2" applyBorder="1"/>
    <xf numFmtId="0" fontId="5" fillId="3" borderId="13" xfId="2" applyBorder="1"/>
    <xf numFmtId="0" fontId="5" fillId="3" borderId="14" xfId="2" applyBorder="1"/>
    <xf numFmtId="0" fontId="10" fillId="2" borderId="0" xfId="1" applyFont="1"/>
    <xf numFmtId="0" fontId="0" fillId="0" borderId="0" xfId="0" applyAlignment="1">
      <alignment horizontal="left"/>
    </xf>
    <xf numFmtId="0" fontId="11" fillId="3" borderId="7" xfId="2" applyFont="1" applyBorder="1"/>
    <xf numFmtId="0" fontId="11" fillId="3" borderId="8" xfId="2" applyFont="1" applyBorder="1"/>
    <xf numFmtId="0" fontId="11" fillId="3" borderId="10" xfId="2" applyFont="1" applyBorder="1"/>
    <xf numFmtId="0" fontId="11" fillId="3" borderId="0" xfId="2" applyFont="1" applyBorder="1"/>
    <xf numFmtId="0" fontId="11" fillId="3" borderId="12" xfId="2" applyFont="1" applyBorder="1"/>
    <xf numFmtId="0" fontId="11" fillId="3" borderId="13" xfId="2" applyFont="1" applyBorder="1"/>
    <xf numFmtId="2" fontId="0" fillId="0" borderId="0" xfId="0" applyNumberFormat="1"/>
    <xf numFmtId="0" fontId="10" fillId="2" borderId="0" xfId="1" applyFont="1" applyAlignment="1">
      <alignment horizontal="left"/>
    </xf>
    <xf numFmtId="0" fontId="16" fillId="7" borderId="6" xfId="6" applyFont="1" applyAlignment="1">
      <alignment horizontal="center"/>
    </xf>
    <xf numFmtId="0" fontId="0" fillId="0" borderId="0" xfId="0" applyAlignment="1">
      <alignment horizontal="center"/>
    </xf>
    <xf numFmtId="164" fontId="2" fillId="5" borderId="2" xfId="4" applyNumberFormat="1" applyFont="1" applyAlignment="1">
      <alignment horizontal="center"/>
    </xf>
    <xf numFmtId="0" fontId="10" fillId="2" borderId="0" xfId="1" applyFont="1" applyAlignment="1">
      <alignment horizontal="center"/>
    </xf>
    <xf numFmtId="0" fontId="0" fillId="0" borderId="0" xfId="0" applyAlignment="1">
      <alignment horizontal="center" vertical="center"/>
    </xf>
    <xf numFmtId="0" fontId="0" fillId="0" borderId="0" xfId="0" pivotButton="1"/>
    <xf numFmtId="0" fontId="0" fillId="0" borderId="0" xfId="0" applyNumberFormat="1"/>
    <xf numFmtId="0" fontId="3" fillId="0" borderId="0" xfId="0" applyFont="1" applyAlignment="1">
      <alignment horizontal="center" vertical="center"/>
    </xf>
    <xf numFmtId="2" fontId="0" fillId="0" borderId="0" xfId="0" applyNumberFormat="1" applyAlignment="1">
      <alignment horizontal="center" vertical="center"/>
    </xf>
    <xf numFmtId="0" fontId="0" fillId="0" borderId="0" xfId="0" applyAlignment="1">
      <alignment horizontal="left" vertical="center"/>
    </xf>
    <xf numFmtId="0" fontId="3" fillId="10" borderId="0" xfId="0" applyFont="1" applyFill="1" applyBorder="1" applyAlignment="1">
      <alignment horizontal="left" vertical="center"/>
    </xf>
    <xf numFmtId="0" fontId="18" fillId="8" borderId="15" xfId="0" applyFont="1" applyFill="1" applyBorder="1" applyAlignment="1">
      <alignment horizontal="center" vertical="center"/>
    </xf>
    <xf numFmtId="0" fontId="18" fillId="8" borderId="16" xfId="0" applyFont="1" applyFill="1" applyBorder="1" applyAlignment="1">
      <alignment horizontal="center" vertical="center"/>
    </xf>
    <xf numFmtId="0" fontId="18" fillId="8" borderId="17" xfId="0" applyFont="1" applyFill="1" applyBorder="1" applyAlignment="1">
      <alignment horizontal="center" vertical="center"/>
    </xf>
    <xf numFmtId="0" fontId="3" fillId="10" borderId="19" xfId="0" applyFont="1" applyFill="1" applyBorder="1" applyAlignment="1">
      <alignment horizontal="left" vertical="center"/>
    </xf>
    <xf numFmtId="0" fontId="3" fillId="10" borderId="21" xfId="0" applyFont="1" applyFill="1" applyBorder="1" applyAlignment="1">
      <alignment horizontal="left" vertical="center"/>
    </xf>
    <xf numFmtId="0" fontId="3" fillId="10" borderId="22" xfId="0" applyFont="1" applyFill="1" applyBorder="1" applyAlignment="1">
      <alignment horizontal="left" vertical="center"/>
    </xf>
    <xf numFmtId="0" fontId="19" fillId="9" borderId="24" xfId="0" applyFont="1" applyFill="1" applyBorder="1" applyAlignment="1">
      <alignment horizontal="left" vertical="center"/>
    </xf>
    <xf numFmtId="0" fontId="15" fillId="9" borderId="24" xfId="0" applyFont="1" applyFill="1" applyBorder="1" applyAlignment="1">
      <alignment horizontal="left" vertical="center"/>
    </xf>
    <xf numFmtId="0" fontId="15" fillId="9" borderId="25" xfId="0" applyFont="1" applyFill="1" applyBorder="1" applyAlignment="1">
      <alignment horizontal="left" vertical="center"/>
    </xf>
    <xf numFmtId="0" fontId="20" fillId="9" borderId="23" xfId="0" applyFont="1" applyFill="1" applyBorder="1" applyAlignment="1">
      <alignment horizontal="center" vertical="center"/>
      <extLst>
        <ext xmlns:xfpb="http://schemas.microsoft.com/office/spreadsheetml/2022/featurepropertybag" uri="{C7286773-470A-42A8-94C5-96B5CB345126}">
          <xfpb:xfComplement i="0"/>
        </ext>
      </extLst>
    </xf>
    <xf numFmtId="0" fontId="20" fillId="10" borderId="18" xfId="0" applyFont="1" applyFill="1" applyBorder="1" applyAlignment="1">
      <alignment horizontal="center" vertical="center"/>
      <extLst>
        <ext xmlns:xfpb="http://schemas.microsoft.com/office/spreadsheetml/2022/featurepropertybag" uri="{C7286773-470A-42A8-94C5-96B5CB345126}">
          <xfpb:xfComplement i="0"/>
        </ext>
      </extLst>
    </xf>
    <xf numFmtId="0" fontId="20" fillId="10" borderId="20" xfId="0" applyFont="1" applyFill="1" applyBorder="1" applyAlignment="1">
      <alignment horizontal="center" vertical="center"/>
      <extLst>
        <ext xmlns:xfpb="http://schemas.microsoft.com/office/spreadsheetml/2022/featurepropertybag" uri="{C7286773-470A-42A8-94C5-96B5CB345126}">
          <xfpb:xfComplement i="0"/>
        </ext>
      </extLst>
    </xf>
    <xf numFmtId="0" fontId="18" fillId="8" borderId="23" xfId="0" applyFont="1" applyFill="1" applyBorder="1" applyAlignment="1">
      <alignment horizontal="center" vertical="center"/>
    </xf>
    <xf numFmtId="0" fontId="18" fillId="8" borderId="24" xfId="0" applyFont="1" applyFill="1" applyBorder="1" applyAlignment="1">
      <alignment horizontal="center" vertical="center"/>
    </xf>
    <xf numFmtId="0" fontId="18" fillId="8" borderId="25" xfId="0" applyFont="1" applyFill="1" applyBorder="1" applyAlignment="1">
      <alignment horizontal="center" vertical="center"/>
    </xf>
    <xf numFmtId="0" fontId="19" fillId="9" borderId="25" xfId="0" applyFont="1" applyFill="1" applyBorder="1" applyAlignment="1">
      <alignment horizontal="left" vertical="center"/>
    </xf>
    <xf numFmtId="0" fontId="0" fillId="0" borderId="0" xfId="0">
      <extLst>
        <ext xmlns:xfpb="http://schemas.microsoft.com/office/spreadsheetml/2022/featurepropertybag" uri="{C7286773-470A-42A8-94C5-96B5CB345126}">
          <xfpb:xfComplement i="0"/>
        </ext>
      </extLst>
    </xf>
    <xf numFmtId="0" fontId="2" fillId="0" borderId="0" xfId="0" applyFont="1">
      <extLst>
        <ext xmlns:xfpb="http://schemas.microsoft.com/office/spreadsheetml/2022/featurepropertybag" uri="{C7286773-470A-42A8-94C5-96B5CB345126}">
          <xfpb:xfComplement i="0"/>
        </ext>
      </extLst>
    </xf>
    <xf numFmtId="0" fontId="2" fillId="0" borderId="0" xfId="0" applyFont="1" applyAlignment="1"/>
    <xf numFmtId="0" fontId="2" fillId="5" borderId="26" xfId="4" applyFont="1" applyBorder="1" applyAlignment="1">
      <alignment horizontal="left" vertical="top"/>
    </xf>
    <xf numFmtId="0" fontId="2" fillId="5" borderId="0" xfId="4" applyFont="1" applyBorder="1" applyAlignment="1">
      <alignment horizontal="left" vertical="top"/>
    </xf>
    <xf numFmtId="0" fontId="2" fillId="5" borderId="0" xfId="4" applyFont="1" applyBorder="1" applyAlignment="1">
      <alignment horizontal="left" vertical="top" wrapText="1"/>
    </xf>
    <xf numFmtId="0" fontId="15" fillId="0" borderId="0" xfId="0" applyFont="1" applyAlignment="1">
      <alignment horizontal="left"/>
    </xf>
  </cellXfs>
  <cellStyles count="7">
    <cellStyle name="20% - Accent2" xfId="5" builtinId="34"/>
    <cellStyle name="Good" xfId="1" builtinId="26"/>
    <cellStyle name="Input" xfId="6" builtinId="20"/>
    <cellStyle name="Neutral" xfId="2" builtinId="28"/>
    <cellStyle name="Normal" xfId="0" builtinId="0"/>
    <cellStyle name="Note" xfId="4" builtinId="10"/>
    <cellStyle name="Output" xfId="3" builtinId="21"/>
  </cellStyles>
  <dxfs count="35">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center"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22/11/relationships/FeaturePropertyBag" Target="featurePropertyBag/featurePropertyBag.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3.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4.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scatterChart>
        <c:scatterStyle val="lineMarker"/>
        <c:varyColors val="0"/>
        <c:ser>
          <c:idx val="0"/>
          <c:order val="0"/>
          <c:tx>
            <c:strRef>
              <c:f>'Job 7.1'!$G$13</c:f>
              <c:strCache>
                <c:ptCount val="1"/>
                <c:pt idx="0">
                  <c:v>Monthly Avg Temp</c:v>
                </c:pt>
              </c:strCache>
            </c:strRef>
          </c:tx>
          <c:spPr>
            <a:ln w="25400" cap="rnd">
              <a:noFill/>
              <a:round/>
            </a:ln>
            <a:effectLst>
              <a:outerShdw dist="25400" dir="2700000" algn="tl" rotWithShape="0">
                <a:schemeClr val="accent1"/>
              </a:outerShdw>
            </a:effectLst>
          </c:spPr>
          <c:marker>
            <c:symbol val="circle"/>
            <c:size val="6"/>
            <c:spPr>
              <a:solidFill>
                <a:schemeClr val="accent1"/>
              </a:solidFill>
              <a:ln w="22225">
                <a:solidFill>
                  <a:schemeClr val="lt1"/>
                </a:solidFill>
                <a:round/>
              </a:ln>
              <a:effectLst/>
            </c:spPr>
          </c:marker>
          <c:xVal>
            <c:strRef>
              <c:f>'Job 7.1'!$F$14:$F$25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xVal>
          <c:yVal>
            <c:numRef>
              <c:f>'Job 7.1'!$G$14:$G$25</c:f>
              <c:numCache>
                <c:formatCode>0.00</c:formatCode>
                <c:ptCount val="12"/>
                <c:pt idx="0">
                  <c:v>34.366666666666667</c:v>
                </c:pt>
                <c:pt idx="1">
                  <c:v>37.083333333333336</c:v>
                </c:pt>
                <c:pt idx="2">
                  <c:v>43.316666666666663</c:v>
                </c:pt>
                <c:pt idx="3">
                  <c:v>54.216666666666669</c:v>
                </c:pt>
                <c:pt idx="4">
                  <c:v>62.54999999999999</c:v>
                </c:pt>
                <c:pt idx="5">
                  <c:v>71.408333333333317</c:v>
                </c:pt>
                <c:pt idx="6">
                  <c:v>76.24166666666666</c:v>
                </c:pt>
                <c:pt idx="7">
                  <c:v>73.775000000000006</c:v>
                </c:pt>
                <c:pt idx="8">
                  <c:v>67.05</c:v>
                </c:pt>
                <c:pt idx="9">
                  <c:v>55.43636363636363</c:v>
                </c:pt>
                <c:pt idx="10">
                  <c:v>45.054545454545462</c:v>
                </c:pt>
                <c:pt idx="11">
                  <c:v>36.963636363636361</c:v>
                </c:pt>
              </c:numCache>
            </c:numRef>
          </c:yVal>
          <c:smooth val="0"/>
          <c:extLst>
            <c:ext xmlns:c16="http://schemas.microsoft.com/office/drawing/2014/chart" uri="{C3380CC4-5D6E-409C-BE32-E72D297353CC}">
              <c16:uniqueId val="{00000000-999B-4CFC-BD7C-A2C1F85CD4C5}"/>
            </c:ext>
          </c:extLst>
        </c:ser>
        <c:dLbls>
          <c:showLegendKey val="0"/>
          <c:showVal val="0"/>
          <c:showCatName val="0"/>
          <c:showSerName val="0"/>
          <c:showPercent val="0"/>
          <c:showBubbleSize val="0"/>
        </c:dLbls>
        <c:axId val="524957263"/>
        <c:axId val="524952463"/>
      </c:scatterChart>
      <c:valAx>
        <c:axId val="524957263"/>
        <c:scaling>
          <c:orientation val="minMax"/>
        </c:scaling>
        <c:delete val="0"/>
        <c:axPos val="b"/>
        <c:majorGridlines>
          <c:spPr>
            <a:ln w="9525" cap="flat" cmpd="sng" algn="ctr">
              <a:solidFill>
                <a:schemeClr val="lt1">
                  <a:alpha val="25000"/>
                </a:schemeClr>
              </a:solidFill>
              <a:round/>
            </a:ln>
            <a:effectLst/>
          </c:spPr>
        </c:majorGridlines>
        <c:majorTickMark val="none"/>
        <c:minorTickMark val="none"/>
        <c:tickLblPos val="nextTo"/>
        <c:spPr>
          <a:noFill/>
          <a:ln w="12700" cap="flat" cmpd="sng" algn="ctr">
            <a:solidFill>
              <a:schemeClr val="lt1">
                <a:alpha val="25000"/>
              </a:schemeClr>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524952463"/>
        <c:crosses val="autoZero"/>
        <c:crossBetween val="midCat"/>
      </c:valAx>
      <c:valAx>
        <c:axId val="524952463"/>
        <c:scaling>
          <c:orientation val="minMax"/>
        </c:scaling>
        <c:delete val="0"/>
        <c:axPos val="l"/>
        <c:majorGridlines>
          <c:spPr>
            <a:ln w="9525" cap="flat" cmpd="sng" algn="ctr">
              <a:solidFill>
                <a:schemeClr val="lt1">
                  <a:alpha val="2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52495726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scatterChart>
        <c:scatterStyle val="lineMarker"/>
        <c:varyColors val="0"/>
        <c:ser>
          <c:idx val="0"/>
          <c:order val="0"/>
          <c:tx>
            <c:strRef>
              <c:f>'Job 7.2'!$G$13</c:f>
              <c:strCache>
                <c:ptCount val="1"/>
                <c:pt idx="0">
                  <c:v>Yearly Avg Temp</c:v>
                </c:pt>
              </c:strCache>
            </c:strRef>
          </c:tx>
          <c:spPr>
            <a:ln w="25400" cap="rnd">
              <a:noFill/>
              <a:round/>
            </a:ln>
            <a:effectLst>
              <a:outerShdw dist="25400" dir="2700000" algn="tl" rotWithShape="0">
                <a:schemeClr val="accent1"/>
              </a:outerShdw>
            </a:effectLst>
          </c:spPr>
          <c:marker>
            <c:symbol val="circle"/>
            <c:size val="6"/>
            <c:spPr>
              <a:solidFill>
                <a:schemeClr val="accent1"/>
              </a:solidFill>
              <a:ln w="22225">
                <a:solidFill>
                  <a:schemeClr val="lt1"/>
                </a:solidFill>
                <a:round/>
              </a:ln>
              <a:effectLst/>
            </c:spPr>
          </c:marker>
          <c:xVal>
            <c:numRef>
              <c:f>'Job 7.2'!$F$14:$F$25</c:f>
              <c:numCache>
                <c:formatCode>General</c:formatCode>
                <c:ptCount val="12"/>
                <c:pt idx="0">
                  <c:v>1990</c:v>
                </c:pt>
                <c:pt idx="1">
                  <c:v>1991</c:v>
                </c:pt>
                <c:pt idx="2">
                  <c:v>1992</c:v>
                </c:pt>
                <c:pt idx="3">
                  <c:v>1993</c:v>
                </c:pt>
                <c:pt idx="4">
                  <c:v>1994</c:v>
                </c:pt>
                <c:pt idx="5">
                  <c:v>1995</c:v>
                </c:pt>
                <c:pt idx="6">
                  <c:v>1996</c:v>
                </c:pt>
                <c:pt idx="7">
                  <c:v>1997</c:v>
                </c:pt>
                <c:pt idx="8">
                  <c:v>1998</c:v>
                </c:pt>
                <c:pt idx="9">
                  <c:v>1999</c:v>
                </c:pt>
                <c:pt idx="10">
                  <c:v>2000</c:v>
                </c:pt>
                <c:pt idx="11">
                  <c:v>2001</c:v>
                </c:pt>
              </c:numCache>
            </c:numRef>
          </c:xVal>
          <c:yVal>
            <c:numRef>
              <c:f>'Job 7.2'!$G$14:$G$25</c:f>
              <c:numCache>
                <c:formatCode>0.00</c:formatCode>
                <c:ptCount val="12"/>
                <c:pt idx="0">
                  <c:v>57.033333333333339</c:v>
                </c:pt>
                <c:pt idx="1">
                  <c:v>56.708333333333343</c:v>
                </c:pt>
                <c:pt idx="2">
                  <c:v>53.608333333333341</c:v>
                </c:pt>
                <c:pt idx="3">
                  <c:v>54.733333333333341</c:v>
                </c:pt>
                <c:pt idx="4">
                  <c:v>55.125</c:v>
                </c:pt>
                <c:pt idx="5">
                  <c:v>54.608333333333327</c:v>
                </c:pt>
                <c:pt idx="6">
                  <c:v>53.125000000000007</c:v>
                </c:pt>
                <c:pt idx="7">
                  <c:v>53.708333333333343</c:v>
                </c:pt>
                <c:pt idx="8">
                  <c:v>57.06666666666667</c:v>
                </c:pt>
                <c:pt idx="9">
                  <c:v>55.225000000000001</c:v>
                </c:pt>
                <c:pt idx="10">
                  <c:v>53.908333333333339</c:v>
                </c:pt>
                <c:pt idx="11">
                  <c:v>54.877777777777773</c:v>
                </c:pt>
              </c:numCache>
            </c:numRef>
          </c:yVal>
          <c:smooth val="0"/>
          <c:extLst>
            <c:ext xmlns:c16="http://schemas.microsoft.com/office/drawing/2014/chart" uri="{C3380CC4-5D6E-409C-BE32-E72D297353CC}">
              <c16:uniqueId val="{00000000-2122-44F0-99A0-2EEC4F4EFB87}"/>
            </c:ext>
          </c:extLst>
        </c:ser>
        <c:dLbls>
          <c:showLegendKey val="0"/>
          <c:showVal val="0"/>
          <c:showCatName val="0"/>
          <c:showSerName val="0"/>
          <c:showPercent val="0"/>
          <c:showBubbleSize val="0"/>
        </c:dLbls>
        <c:axId val="525025423"/>
        <c:axId val="525037423"/>
      </c:scatterChart>
      <c:valAx>
        <c:axId val="525025423"/>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12700" cap="flat" cmpd="sng" algn="ctr">
            <a:solidFill>
              <a:schemeClr val="lt1">
                <a:alpha val="25000"/>
              </a:schemeClr>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525037423"/>
        <c:crosses val="autoZero"/>
        <c:crossBetween val="midCat"/>
      </c:valAx>
      <c:valAx>
        <c:axId val="525037423"/>
        <c:scaling>
          <c:orientation val="minMax"/>
        </c:scaling>
        <c:delete val="0"/>
        <c:axPos val="l"/>
        <c:majorGridlines>
          <c:spPr>
            <a:ln w="9525" cap="flat" cmpd="sng" algn="ctr">
              <a:solidFill>
                <a:schemeClr val="lt1">
                  <a:alpha val="2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52502542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lineChart>
        <c:grouping val="standard"/>
        <c:varyColors val="0"/>
        <c:ser>
          <c:idx val="0"/>
          <c:order val="0"/>
          <c:tx>
            <c:strRef>
              <c:f>'Job 7.2'!$G$13</c:f>
              <c:strCache>
                <c:ptCount val="1"/>
                <c:pt idx="0">
                  <c:v>Yearly Avg Temp</c:v>
                </c:pt>
              </c:strCache>
            </c:strRef>
          </c:tx>
          <c:spPr>
            <a:ln w="28575" cap="rnd">
              <a:solidFill>
                <a:schemeClr val="lt1">
                  <a:alpha val="50000"/>
                </a:schemeClr>
              </a:solidFill>
              <a:round/>
            </a:ln>
            <a:effectLst>
              <a:outerShdw dist="25400" dir="2700000" algn="tl" rotWithShape="0">
                <a:schemeClr val="accent1"/>
              </a:outerShdw>
            </a:effectLst>
          </c:spPr>
          <c:marker>
            <c:symbol val="none"/>
          </c:marker>
          <c:cat>
            <c:numRef>
              <c:f>'Job 7.2'!$F$14:$F$25</c:f>
              <c:numCache>
                <c:formatCode>General</c:formatCode>
                <c:ptCount val="12"/>
                <c:pt idx="0">
                  <c:v>1990</c:v>
                </c:pt>
                <c:pt idx="1">
                  <c:v>1991</c:v>
                </c:pt>
                <c:pt idx="2">
                  <c:v>1992</c:v>
                </c:pt>
                <c:pt idx="3">
                  <c:v>1993</c:v>
                </c:pt>
                <c:pt idx="4">
                  <c:v>1994</c:v>
                </c:pt>
                <c:pt idx="5">
                  <c:v>1995</c:v>
                </c:pt>
                <c:pt idx="6">
                  <c:v>1996</c:v>
                </c:pt>
                <c:pt idx="7">
                  <c:v>1997</c:v>
                </c:pt>
                <c:pt idx="8">
                  <c:v>1998</c:v>
                </c:pt>
                <c:pt idx="9">
                  <c:v>1999</c:v>
                </c:pt>
                <c:pt idx="10">
                  <c:v>2000</c:v>
                </c:pt>
                <c:pt idx="11">
                  <c:v>2001</c:v>
                </c:pt>
              </c:numCache>
            </c:numRef>
          </c:cat>
          <c:val>
            <c:numRef>
              <c:f>'Job 7.2'!$G$14:$G$25</c:f>
              <c:numCache>
                <c:formatCode>0.00</c:formatCode>
                <c:ptCount val="12"/>
                <c:pt idx="0">
                  <c:v>57.033333333333339</c:v>
                </c:pt>
                <c:pt idx="1">
                  <c:v>56.708333333333343</c:v>
                </c:pt>
                <c:pt idx="2">
                  <c:v>53.608333333333341</c:v>
                </c:pt>
                <c:pt idx="3">
                  <c:v>54.733333333333341</c:v>
                </c:pt>
                <c:pt idx="4">
                  <c:v>55.125</c:v>
                </c:pt>
                <c:pt idx="5">
                  <c:v>54.608333333333327</c:v>
                </c:pt>
                <c:pt idx="6">
                  <c:v>53.125000000000007</c:v>
                </c:pt>
                <c:pt idx="7">
                  <c:v>53.708333333333343</c:v>
                </c:pt>
                <c:pt idx="8">
                  <c:v>57.06666666666667</c:v>
                </c:pt>
                <c:pt idx="9">
                  <c:v>55.225000000000001</c:v>
                </c:pt>
                <c:pt idx="10">
                  <c:v>53.908333333333339</c:v>
                </c:pt>
                <c:pt idx="11">
                  <c:v>54.877777777777773</c:v>
                </c:pt>
              </c:numCache>
            </c:numRef>
          </c:val>
          <c:smooth val="0"/>
          <c:extLst>
            <c:ext xmlns:c16="http://schemas.microsoft.com/office/drawing/2014/chart" uri="{C3380CC4-5D6E-409C-BE32-E72D297353CC}">
              <c16:uniqueId val="{00000000-39AC-4A44-98ED-5A0BF522C833}"/>
            </c:ext>
          </c:extLst>
        </c:ser>
        <c:dLbls>
          <c:showLegendKey val="0"/>
          <c:showVal val="0"/>
          <c:showCatName val="0"/>
          <c:showSerName val="0"/>
          <c:showPercent val="0"/>
          <c:showBubbleSize val="0"/>
        </c:dLbls>
        <c:smooth val="0"/>
        <c:axId val="525025423"/>
        <c:axId val="525037423"/>
      </c:lineChart>
      <c:catAx>
        <c:axId val="525025423"/>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12700" cap="flat" cmpd="sng" algn="ctr">
            <a:solidFill>
              <a:schemeClr val="lt1">
                <a:alpha val="25000"/>
              </a:schemeClr>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525037423"/>
        <c:crosses val="autoZero"/>
        <c:auto val="1"/>
        <c:lblAlgn val="ctr"/>
        <c:lblOffset val="100"/>
        <c:noMultiLvlLbl val="0"/>
      </c:catAx>
      <c:valAx>
        <c:axId val="525037423"/>
        <c:scaling>
          <c:orientation val="minMax"/>
        </c:scaling>
        <c:delete val="0"/>
        <c:axPos val="l"/>
        <c:majorGridlines>
          <c:spPr>
            <a:ln w="9525" cap="flat" cmpd="sng" algn="ctr">
              <a:solidFill>
                <a:schemeClr val="lt1">
                  <a:alpha val="2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5250254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[Database for Excel Jobs 1 thru7.xlsx]Job 7.4!PivotTable21</c:name>
    <c:fmtId val="0"/>
  </c:pivotSource>
  <c:chart>
    <c:autoTitleDeleted val="0"/>
    <c:pivotFmts>
      <c:pivotFmt>
        <c:idx val="0"/>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5">
                    <a:lumMod val="60000"/>
                    <a:shade val="51000"/>
                    <a:satMod val="130000"/>
                  </a:schemeClr>
                </a:gs>
                <a:gs pos="80000">
                  <a:schemeClr val="accent5">
                    <a:lumMod val="60000"/>
                    <a:shade val="93000"/>
                    <a:satMod val="130000"/>
                  </a:schemeClr>
                </a:gs>
                <a:gs pos="100000">
                  <a:schemeClr val="accent5">
                    <a:lumMod val="60000"/>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6">
                    <a:lumMod val="60000"/>
                    <a:shade val="51000"/>
                    <a:satMod val="130000"/>
                  </a:schemeClr>
                </a:gs>
                <a:gs pos="80000">
                  <a:schemeClr val="accent6">
                    <a:lumMod val="60000"/>
                    <a:shade val="93000"/>
                    <a:satMod val="130000"/>
                  </a:schemeClr>
                </a:gs>
                <a:gs pos="100000">
                  <a:schemeClr val="accent6">
                    <a:lumMod val="60000"/>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'Job 7.4'!$G$14:$G$15</c:f>
              <c:strCache>
                <c:ptCount val="1"/>
                <c:pt idx="0">
                  <c:v>1990</c:v>
                </c:pt>
              </c:strCache>
            </c:strRef>
          </c:tx>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cat>
            <c:strRef>
              <c:f>'Job 7.4'!$F$16:$F$28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'Job 7.4'!$G$16:$G$28</c:f>
              <c:numCache>
                <c:formatCode>0.00</c:formatCode>
                <c:ptCount val="12"/>
                <c:pt idx="0">
                  <c:v>40.799999999999997</c:v>
                </c:pt>
                <c:pt idx="1">
                  <c:v>42.2</c:v>
                </c:pt>
                <c:pt idx="2">
                  <c:v>48.1</c:v>
                </c:pt>
                <c:pt idx="3">
                  <c:v>54.3</c:v>
                </c:pt>
                <c:pt idx="4">
                  <c:v>61.6</c:v>
                </c:pt>
                <c:pt idx="5">
                  <c:v>72</c:v>
                </c:pt>
                <c:pt idx="6">
                  <c:v>76.900000000000006</c:v>
                </c:pt>
                <c:pt idx="7">
                  <c:v>73.8</c:v>
                </c:pt>
                <c:pt idx="8">
                  <c:v>66.099999999999994</c:v>
                </c:pt>
                <c:pt idx="9">
                  <c:v>58.7</c:v>
                </c:pt>
                <c:pt idx="10">
                  <c:v>48.6</c:v>
                </c:pt>
                <c:pt idx="11">
                  <c:v>41.3</c:v>
                </c:pt>
              </c:numCache>
            </c:numRef>
          </c:val>
          <c:extLst>
            <c:ext xmlns:c16="http://schemas.microsoft.com/office/drawing/2014/chart" uri="{C3380CC4-5D6E-409C-BE32-E72D297353CC}">
              <c16:uniqueId val="{00000000-65C5-4A94-A20A-04E63028BBC8}"/>
            </c:ext>
          </c:extLst>
        </c:ser>
        <c:ser>
          <c:idx val="1"/>
          <c:order val="1"/>
          <c:tx>
            <c:strRef>
              <c:f>'Job 7.4'!$H$14:$H$15</c:f>
              <c:strCache>
                <c:ptCount val="1"/>
                <c:pt idx="0">
                  <c:v>1991</c:v>
                </c:pt>
              </c:strCache>
            </c:strRef>
          </c:tx>
          <c:spPr>
            <a:ln w="31750"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cat>
            <c:strRef>
              <c:f>'Job 7.4'!$F$16:$F$28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'Job 7.4'!$H$16:$H$28</c:f>
              <c:numCache>
                <c:formatCode>0.00</c:formatCode>
                <c:ptCount val="12"/>
                <c:pt idx="0">
                  <c:v>34</c:v>
                </c:pt>
                <c:pt idx="1">
                  <c:v>39.5</c:v>
                </c:pt>
                <c:pt idx="2">
                  <c:v>46.1</c:v>
                </c:pt>
                <c:pt idx="3">
                  <c:v>56</c:v>
                </c:pt>
                <c:pt idx="4">
                  <c:v>69.3</c:v>
                </c:pt>
                <c:pt idx="5">
                  <c:v>72.3</c:v>
                </c:pt>
                <c:pt idx="6">
                  <c:v>77.900000000000006</c:v>
                </c:pt>
                <c:pt idx="7">
                  <c:v>77</c:v>
                </c:pt>
                <c:pt idx="8">
                  <c:v>67.599999999999994</c:v>
                </c:pt>
                <c:pt idx="9">
                  <c:v>56.6</c:v>
                </c:pt>
                <c:pt idx="10">
                  <c:v>45.7</c:v>
                </c:pt>
                <c:pt idx="11">
                  <c:v>38.5</c:v>
                </c:pt>
              </c:numCache>
            </c:numRef>
          </c:val>
          <c:extLst>
            <c:ext xmlns:c16="http://schemas.microsoft.com/office/drawing/2014/chart" uri="{C3380CC4-5D6E-409C-BE32-E72D297353CC}">
              <c16:uniqueId val="{00000001-65C5-4A94-A20A-04E63028BBC8}"/>
            </c:ext>
          </c:extLst>
        </c:ser>
        <c:ser>
          <c:idx val="2"/>
          <c:order val="2"/>
          <c:tx>
            <c:strRef>
              <c:f>'Job 7.4'!$I$14:$I$15</c:f>
              <c:strCache>
                <c:ptCount val="1"/>
                <c:pt idx="0">
                  <c:v>1992</c:v>
                </c:pt>
              </c:strCache>
            </c:strRef>
          </c:tx>
          <c:spPr>
            <a:ln w="31750"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cat>
            <c:strRef>
              <c:f>'Job 7.4'!$F$16:$F$28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'Job 7.4'!$I$16:$I$28</c:f>
              <c:numCache>
                <c:formatCode>0.00</c:formatCode>
                <c:ptCount val="12"/>
                <c:pt idx="0">
                  <c:v>35</c:v>
                </c:pt>
                <c:pt idx="1">
                  <c:v>38</c:v>
                </c:pt>
                <c:pt idx="2">
                  <c:v>41.9</c:v>
                </c:pt>
                <c:pt idx="3">
                  <c:v>53.1</c:v>
                </c:pt>
                <c:pt idx="4">
                  <c:v>59.7</c:v>
                </c:pt>
                <c:pt idx="5">
                  <c:v>68.599999999999994</c:v>
                </c:pt>
                <c:pt idx="6">
                  <c:v>75.900000000000006</c:v>
                </c:pt>
                <c:pt idx="7">
                  <c:v>70.400000000000006</c:v>
                </c:pt>
                <c:pt idx="8">
                  <c:v>66</c:v>
                </c:pt>
                <c:pt idx="9">
                  <c:v>52.2</c:v>
                </c:pt>
                <c:pt idx="10">
                  <c:v>45.7</c:v>
                </c:pt>
                <c:pt idx="11">
                  <c:v>36.799999999999997</c:v>
                </c:pt>
              </c:numCache>
            </c:numRef>
          </c:val>
          <c:extLst>
            <c:ext xmlns:c16="http://schemas.microsoft.com/office/drawing/2014/chart" uri="{C3380CC4-5D6E-409C-BE32-E72D297353CC}">
              <c16:uniqueId val="{00000002-65C5-4A94-A20A-04E63028BBC8}"/>
            </c:ext>
          </c:extLst>
        </c:ser>
        <c:ser>
          <c:idx val="3"/>
          <c:order val="3"/>
          <c:tx>
            <c:strRef>
              <c:f>'Job 7.4'!$J$14:$J$15</c:f>
              <c:strCache>
                <c:ptCount val="1"/>
                <c:pt idx="0">
                  <c:v>1993</c:v>
                </c:pt>
              </c:strCache>
            </c:strRef>
          </c:tx>
          <c:spPr>
            <a:ln w="31750" cap="rnd">
              <a:solidFill>
                <a:schemeClr val="accent4"/>
              </a:solidFill>
              <a:round/>
            </a:ln>
            <a:effectLst>
              <a:outerShdw blurRad="40000" dist="23000" dir="5400000" rotWithShape="0">
                <a:srgbClr val="000000">
                  <a:alpha val="35000"/>
                </a:srgbClr>
              </a:outerShdw>
            </a:effectLst>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cat>
            <c:strRef>
              <c:f>'Job 7.4'!$F$16:$F$28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'Job 7.4'!$J$16:$J$28</c:f>
              <c:numCache>
                <c:formatCode>0.00</c:formatCode>
                <c:ptCount val="12"/>
                <c:pt idx="0">
                  <c:v>36.799999999999997</c:v>
                </c:pt>
                <c:pt idx="1">
                  <c:v>31.7</c:v>
                </c:pt>
                <c:pt idx="2">
                  <c:v>39.299999999999997</c:v>
                </c:pt>
                <c:pt idx="3">
                  <c:v>52.6</c:v>
                </c:pt>
                <c:pt idx="4">
                  <c:v>64.5</c:v>
                </c:pt>
                <c:pt idx="5">
                  <c:v>72</c:v>
                </c:pt>
                <c:pt idx="6">
                  <c:v>79.7</c:v>
                </c:pt>
                <c:pt idx="7">
                  <c:v>78</c:v>
                </c:pt>
                <c:pt idx="8">
                  <c:v>68.7</c:v>
                </c:pt>
                <c:pt idx="9">
                  <c:v>54.2</c:v>
                </c:pt>
                <c:pt idx="10">
                  <c:v>45.3</c:v>
                </c:pt>
                <c:pt idx="11">
                  <c:v>34</c:v>
                </c:pt>
              </c:numCache>
            </c:numRef>
          </c:val>
          <c:extLst>
            <c:ext xmlns:c16="http://schemas.microsoft.com/office/drawing/2014/chart" uri="{C3380CC4-5D6E-409C-BE32-E72D297353CC}">
              <c16:uniqueId val="{00000003-65C5-4A94-A20A-04E63028BBC8}"/>
            </c:ext>
          </c:extLst>
        </c:ser>
        <c:ser>
          <c:idx val="4"/>
          <c:order val="4"/>
          <c:tx>
            <c:strRef>
              <c:f>'Job 7.4'!$K$14:$K$15</c:f>
              <c:strCache>
                <c:ptCount val="1"/>
                <c:pt idx="0">
                  <c:v>1994</c:v>
                </c:pt>
              </c:strCache>
            </c:strRef>
          </c:tx>
          <c:spPr>
            <a:ln w="31750" cap="rnd">
              <a:solidFill>
                <a:schemeClr val="accent5"/>
              </a:solidFill>
              <a:round/>
            </a:ln>
            <a:effectLst>
              <a:outerShdw blurRad="40000" dist="23000" dir="5400000" rotWithShape="0">
                <a:srgbClr val="000000">
                  <a:alpha val="35000"/>
                </a:srgbClr>
              </a:outerShdw>
            </a:effectLst>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cat>
            <c:strRef>
              <c:f>'Job 7.4'!$F$16:$F$28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'Job 7.4'!$K$16:$K$28</c:f>
              <c:numCache>
                <c:formatCode>0.00</c:formatCode>
                <c:ptCount val="12"/>
                <c:pt idx="0">
                  <c:v>26.1</c:v>
                </c:pt>
                <c:pt idx="1">
                  <c:v>33.299999999999997</c:v>
                </c:pt>
                <c:pt idx="2">
                  <c:v>42.7</c:v>
                </c:pt>
                <c:pt idx="3">
                  <c:v>60.1</c:v>
                </c:pt>
                <c:pt idx="4">
                  <c:v>59.9</c:v>
                </c:pt>
                <c:pt idx="5">
                  <c:v>76.099999999999994</c:v>
                </c:pt>
                <c:pt idx="6">
                  <c:v>79.5</c:v>
                </c:pt>
                <c:pt idx="7">
                  <c:v>73.8</c:v>
                </c:pt>
                <c:pt idx="8">
                  <c:v>66.7</c:v>
                </c:pt>
                <c:pt idx="9">
                  <c:v>53.9</c:v>
                </c:pt>
                <c:pt idx="10">
                  <c:v>49.1</c:v>
                </c:pt>
                <c:pt idx="11">
                  <c:v>40.299999999999997</c:v>
                </c:pt>
              </c:numCache>
            </c:numRef>
          </c:val>
          <c:extLst>
            <c:ext xmlns:c16="http://schemas.microsoft.com/office/drawing/2014/chart" uri="{C3380CC4-5D6E-409C-BE32-E72D297353CC}">
              <c16:uniqueId val="{00000004-65C5-4A94-A20A-04E63028BBC8}"/>
            </c:ext>
          </c:extLst>
        </c:ser>
        <c:ser>
          <c:idx val="5"/>
          <c:order val="5"/>
          <c:tx>
            <c:strRef>
              <c:f>'Job 7.4'!$L$14:$L$15</c:f>
              <c:strCache>
                <c:ptCount val="1"/>
                <c:pt idx="0">
                  <c:v>1995</c:v>
                </c:pt>
              </c:strCache>
            </c:strRef>
          </c:tx>
          <c:spPr>
            <a:ln w="31750" cap="rnd">
              <a:solidFill>
                <a:schemeClr val="accent6"/>
              </a:solidFill>
              <a:round/>
            </a:ln>
            <a:effectLst>
              <a:outerShdw blurRad="40000" dist="23000" dir="5400000" rotWithShape="0">
                <a:srgbClr val="000000">
                  <a:alpha val="35000"/>
                </a:srgbClr>
              </a:outerShdw>
            </a:effectLst>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cat>
            <c:strRef>
              <c:f>'Job 7.4'!$F$16:$F$28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'Job 7.4'!$L$16:$L$28</c:f>
              <c:numCache>
                <c:formatCode>0.00</c:formatCode>
                <c:ptCount val="12"/>
                <c:pt idx="0">
                  <c:v>37.200000000000003</c:v>
                </c:pt>
                <c:pt idx="1">
                  <c:v>31.3</c:v>
                </c:pt>
                <c:pt idx="2">
                  <c:v>46.1</c:v>
                </c:pt>
                <c:pt idx="3">
                  <c:v>52.6</c:v>
                </c:pt>
                <c:pt idx="4">
                  <c:v>62.7</c:v>
                </c:pt>
                <c:pt idx="5">
                  <c:v>71.5</c:v>
                </c:pt>
                <c:pt idx="6">
                  <c:v>78.2</c:v>
                </c:pt>
                <c:pt idx="7">
                  <c:v>77.599999999999994</c:v>
                </c:pt>
                <c:pt idx="8">
                  <c:v>67.099999999999994</c:v>
                </c:pt>
                <c:pt idx="9">
                  <c:v>58.3</c:v>
                </c:pt>
                <c:pt idx="10">
                  <c:v>39.700000000000003</c:v>
                </c:pt>
                <c:pt idx="11">
                  <c:v>33</c:v>
                </c:pt>
              </c:numCache>
            </c:numRef>
          </c:val>
          <c:extLst>
            <c:ext xmlns:c16="http://schemas.microsoft.com/office/drawing/2014/chart" uri="{C3380CC4-5D6E-409C-BE32-E72D297353CC}">
              <c16:uniqueId val="{00000005-65C5-4A94-A20A-04E63028BBC8}"/>
            </c:ext>
          </c:extLst>
        </c:ser>
        <c:ser>
          <c:idx val="6"/>
          <c:order val="6"/>
          <c:tx>
            <c:strRef>
              <c:f>'Job 7.4'!$M$14:$M$15</c:f>
              <c:strCache>
                <c:ptCount val="1"/>
                <c:pt idx="0">
                  <c:v>1996</c:v>
                </c:pt>
              </c:strCache>
            </c:strRef>
          </c:tx>
          <c:spPr>
            <a:ln w="31750" cap="rnd">
              <a:solidFill>
                <a:schemeClr val="accent1">
                  <a:lumMod val="60000"/>
                </a:schemeClr>
              </a:solidFill>
              <a:round/>
            </a:ln>
            <a:effectLst>
              <a:outerShdw blurRad="40000" dist="23000" dir="5400000" rotWithShape="0">
                <a:srgbClr val="000000">
                  <a:alpha val="35000"/>
                </a:srgbClr>
              </a:outerShdw>
            </a:effectLst>
          </c:spPr>
          <c:marker>
            <c:symbol val="circle"/>
            <c:size val="6"/>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cat>
            <c:strRef>
              <c:f>'Job 7.4'!$F$16:$F$28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'Job 7.4'!$M$16:$M$28</c:f>
              <c:numCache>
                <c:formatCode>0.00</c:formatCode>
                <c:ptCount val="12"/>
                <c:pt idx="0">
                  <c:v>30</c:v>
                </c:pt>
                <c:pt idx="1">
                  <c:v>34.700000000000003</c:v>
                </c:pt>
                <c:pt idx="2">
                  <c:v>39.700000000000003</c:v>
                </c:pt>
                <c:pt idx="3">
                  <c:v>54.6</c:v>
                </c:pt>
                <c:pt idx="4">
                  <c:v>59.7</c:v>
                </c:pt>
                <c:pt idx="5">
                  <c:v>72.8</c:v>
                </c:pt>
                <c:pt idx="6">
                  <c:v>72.900000000000006</c:v>
                </c:pt>
                <c:pt idx="7">
                  <c:v>72.7</c:v>
                </c:pt>
                <c:pt idx="8">
                  <c:v>67.099999999999994</c:v>
                </c:pt>
                <c:pt idx="9">
                  <c:v>55.7</c:v>
                </c:pt>
                <c:pt idx="10">
                  <c:v>39.299999999999997</c:v>
                </c:pt>
                <c:pt idx="11">
                  <c:v>38.299999999999997</c:v>
                </c:pt>
              </c:numCache>
            </c:numRef>
          </c:val>
          <c:extLst>
            <c:ext xmlns:c16="http://schemas.microsoft.com/office/drawing/2014/chart" uri="{C3380CC4-5D6E-409C-BE32-E72D297353CC}">
              <c16:uniqueId val="{00000006-65C5-4A94-A20A-04E63028BBC8}"/>
            </c:ext>
          </c:extLst>
        </c:ser>
        <c:ser>
          <c:idx val="7"/>
          <c:order val="7"/>
          <c:tx>
            <c:strRef>
              <c:f>'Job 7.4'!$N$14:$N$15</c:f>
              <c:strCache>
                <c:ptCount val="1"/>
                <c:pt idx="0">
                  <c:v>1997</c:v>
                </c:pt>
              </c:strCache>
            </c:strRef>
          </c:tx>
          <c:spPr>
            <a:ln w="31750" cap="rnd">
              <a:solidFill>
                <a:schemeClr val="accent2">
                  <a:lumMod val="60000"/>
                </a:schemeClr>
              </a:solidFill>
              <a:round/>
            </a:ln>
            <a:effectLst>
              <a:outerShdw blurRad="40000" dist="23000" dir="5400000" rotWithShape="0">
                <a:srgbClr val="000000">
                  <a:alpha val="35000"/>
                </a:srgbClr>
              </a:outerShdw>
            </a:effectLst>
          </c:spPr>
          <c:marker>
            <c:symbol val="circle"/>
            <c:size val="6"/>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cat>
            <c:strRef>
              <c:f>'Job 7.4'!$F$16:$F$28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'Job 7.4'!$N$16:$N$28</c:f>
              <c:numCache>
                <c:formatCode>0.00</c:formatCode>
                <c:ptCount val="12"/>
                <c:pt idx="0">
                  <c:v>32.5</c:v>
                </c:pt>
                <c:pt idx="1">
                  <c:v>40.5</c:v>
                </c:pt>
                <c:pt idx="2">
                  <c:v>44.6</c:v>
                </c:pt>
                <c:pt idx="3">
                  <c:v>50.3</c:v>
                </c:pt>
                <c:pt idx="4">
                  <c:v>58.8</c:v>
                </c:pt>
                <c:pt idx="5">
                  <c:v>69.099999999999994</c:v>
                </c:pt>
                <c:pt idx="6">
                  <c:v>75.8</c:v>
                </c:pt>
                <c:pt idx="7">
                  <c:v>73.3</c:v>
                </c:pt>
                <c:pt idx="8">
                  <c:v>65.099999999999994</c:v>
                </c:pt>
                <c:pt idx="9">
                  <c:v>53.7</c:v>
                </c:pt>
                <c:pt idx="10">
                  <c:v>43.6</c:v>
                </c:pt>
                <c:pt idx="11">
                  <c:v>37.200000000000003</c:v>
                </c:pt>
              </c:numCache>
            </c:numRef>
          </c:val>
          <c:extLst>
            <c:ext xmlns:c16="http://schemas.microsoft.com/office/drawing/2014/chart" uri="{C3380CC4-5D6E-409C-BE32-E72D297353CC}">
              <c16:uniqueId val="{00000007-65C5-4A94-A20A-04E63028BBC8}"/>
            </c:ext>
          </c:extLst>
        </c:ser>
        <c:ser>
          <c:idx val="8"/>
          <c:order val="8"/>
          <c:tx>
            <c:strRef>
              <c:f>'Job 7.4'!$O$14:$O$15</c:f>
              <c:strCache>
                <c:ptCount val="1"/>
                <c:pt idx="0">
                  <c:v>1998</c:v>
                </c:pt>
              </c:strCache>
            </c:strRef>
          </c:tx>
          <c:spPr>
            <a:ln w="31750" cap="rnd">
              <a:solidFill>
                <a:schemeClr val="accent3">
                  <a:lumMod val="60000"/>
                </a:schemeClr>
              </a:solidFill>
              <a:round/>
            </a:ln>
            <a:effectLst>
              <a:outerShdw blurRad="40000" dist="23000" dir="5400000" rotWithShape="0">
                <a:srgbClr val="000000">
                  <a:alpha val="35000"/>
                </a:srgbClr>
              </a:outerShdw>
            </a:effectLst>
          </c:spPr>
          <c:marker>
            <c:symbol val="circle"/>
            <c:size val="6"/>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cat>
            <c:strRef>
              <c:f>'Job 7.4'!$F$16:$F$28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'Job 7.4'!$O$16:$O$28</c:f>
              <c:numCache>
                <c:formatCode>0.00</c:formatCode>
                <c:ptCount val="12"/>
                <c:pt idx="0">
                  <c:v>40.1</c:v>
                </c:pt>
                <c:pt idx="1">
                  <c:v>41</c:v>
                </c:pt>
                <c:pt idx="2">
                  <c:v>45.5</c:v>
                </c:pt>
                <c:pt idx="3">
                  <c:v>54.9</c:v>
                </c:pt>
                <c:pt idx="4">
                  <c:v>66</c:v>
                </c:pt>
                <c:pt idx="5">
                  <c:v>70.400000000000006</c:v>
                </c:pt>
                <c:pt idx="6">
                  <c:v>75.3</c:v>
                </c:pt>
                <c:pt idx="7">
                  <c:v>76.2</c:v>
                </c:pt>
                <c:pt idx="8">
                  <c:v>72.7</c:v>
                </c:pt>
                <c:pt idx="9">
                  <c:v>56.2</c:v>
                </c:pt>
                <c:pt idx="10">
                  <c:v>45.6</c:v>
                </c:pt>
                <c:pt idx="11">
                  <c:v>40.9</c:v>
                </c:pt>
              </c:numCache>
            </c:numRef>
          </c:val>
          <c:extLst>
            <c:ext xmlns:c16="http://schemas.microsoft.com/office/drawing/2014/chart" uri="{C3380CC4-5D6E-409C-BE32-E72D297353CC}">
              <c16:uniqueId val="{00000008-65C5-4A94-A20A-04E63028BBC8}"/>
            </c:ext>
          </c:extLst>
        </c:ser>
        <c:ser>
          <c:idx val="9"/>
          <c:order val="9"/>
          <c:tx>
            <c:strRef>
              <c:f>'Job 7.4'!$P$14:$P$15</c:f>
              <c:strCache>
                <c:ptCount val="1"/>
                <c:pt idx="0">
                  <c:v>1999</c:v>
                </c:pt>
              </c:strCache>
            </c:strRef>
          </c:tx>
          <c:spPr>
            <a:ln w="31750" cap="rnd">
              <a:solidFill>
                <a:schemeClr val="accent4">
                  <a:lumMod val="60000"/>
                </a:schemeClr>
              </a:solidFill>
              <a:round/>
            </a:ln>
            <a:effectLst>
              <a:outerShdw blurRad="40000" dist="23000" dir="5400000" rotWithShape="0">
                <a:srgbClr val="000000">
                  <a:alpha val="35000"/>
                </a:srgbClr>
              </a:outerShdw>
            </a:effectLst>
          </c:spPr>
          <c:marker>
            <c:symbol val="circle"/>
            <c:size val="6"/>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cat>
            <c:strRef>
              <c:f>'Job 7.4'!$F$16:$F$28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'Job 7.4'!$P$16:$P$28</c:f>
              <c:numCache>
                <c:formatCode>0.00</c:formatCode>
                <c:ptCount val="12"/>
                <c:pt idx="0">
                  <c:v>34.9</c:v>
                </c:pt>
                <c:pt idx="1">
                  <c:v>37.5</c:v>
                </c:pt>
                <c:pt idx="2">
                  <c:v>41.4</c:v>
                </c:pt>
                <c:pt idx="3">
                  <c:v>53</c:v>
                </c:pt>
                <c:pt idx="4">
                  <c:v>62.8</c:v>
                </c:pt>
                <c:pt idx="5">
                  <c:v>70.8</c:v>
                </c:pt>
                <c:pt idx="6">
                  <c:v>78.5</c:v>
                </c:pt>
                <c:pt idx="7">
                  <c:v>75.400000000000006</c:v>
                </c:pt>
                <c:pt idx="8">
                  <c:v>67</c:v>
                </c:pt>
                <c:pt idx="9">
                  <c:v>53.1</c:v>
                </c:pt>
                <c:pt idx="10">
                  <c:v>50.1</c:v>
                </c:pt>
                <c:pt idx="11">
                  <c:v>38.200000000000003</c:v>
                </c:pt>
              </c:numCache>
            </c:numRef>
          </c:val>
          <c:extLst>
            <c:ext xmlns:c16="http://schemas.microsoft.com/office/drawing/2014/chart" uri="{C3380CC4-5D6E-409C-BE32-E72D297353CC}">
              <c16:uniqueId val="{00000009-65C5-4A94-A20A-04E63028BBC8}"/>
            </c:ext>
          </c:extLst>
        </c:ser>
        <c:ser>
          <c:idx val="10"/>
          <c:order val="10"/>
          <c:tx>
            <c:strRef>
              <c:f>'Job 7.4'!$Q$14:$Q$15</c:f>
              <c:strCache>
                <c:ptCount val="1"/>
                <c:pt idx="0">
                  <c:v>2000</c:v>
                </c:pt>
              </c:strCache>
            </c:strRef>
          </c:tx>
          <c:spPr>
            <a:ln w="31750" cap="rnd">
              <a:solidFill>
                <a:schemeClr val="accent5">
                  <a:lumMod val="60000"/>
                </a:schemeClr>
              </a:solidFill>
              <a:round/>
            </a:ln>
            <a:effectLst>
              <a:outerShdw blurRad="40000" dist="23000" dir="5400000" rotWithShape="0">
                <a:srgbClr val="000000">
                  <a:alpha val="35000"/>
                </a:srgbClr>
              </a:outerShdw>
            </a:effectLst>
          </c:spPr>
          <c:marker>
            <c:symbol val="circle"/>
            <c:size val="6"/>
            <c:spPr>
              <a:gradFill rotWithShape="1">
                <a:gsLst>
                  <a:gs pos="0">
                    <a:schemeClr val="accent5">
                      <a:lumMod val="60000"/>
                      <a:shade val="51000"/>
                      <a:satMod val="130000"/>
                    </a:schemeClr>
                  </a:gs>
                  <a:gs pos="80000">
                    <a:schemeClr val="accent5">
                      <a:lumMod val="60000"/>
                      <a:shade val="93000"/>
                      <a:satMod val="130000"/>
                    </a:schemeClr>
                  </a:gs>
                  <a:gs pos="100000">
                    <a:schemeClr val="accent5">
                      <a:lumMod val="60000"/>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cat>
            <c:strRef>
              <c:f>'Job 7.4'!$F$16:$F$28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'Job 7.4'!$Q$16:$Q$28</c:f>
              <c:numCache>
                <c:formatCode>0.00</c:formatCode>
                <c:ptCount val="12"/>
                <c:pt idx="0">
                  <c:v>32.700000000000003</c:v>
                </c:pt>
                <c:pt idx="1">
                  <c:v>36.799999999999997</c:v>
                </c:pt>
                <c:pt idx="2">
                  <c:v>48.2</c:v>
                </c:pt>
                <c:pt idx="3">
                  <c:v>53.6</c:v>
                </c:pt>
                <c:pt idx="4">
                  <c:v>64.8</c:v>
                </c:pt>
                <c:pt idx="5">
                  <c:v>72.3</c:v>
                </c:pt>
                <c:pt idx="6">
                  <c:v>72.099999999999994</c:v>
                </c:pt>
                <c:pt idx="7">
                  <c:v>73</c:v>
                </c:pt>
                <c:pt idx="8">
                  <c:v>65.2</c:v>
                </c:pt>
                <c:pt idx="9">
                  <c:v>57.2</c:v>
                </c:pt>
                <c:pt idx="10">
                  <c:v>42.9</c:v>
                </c:pt>
                <c:pt idx="11">
                  <c:v>28.1</c:v>
                </c:pt>
              </c:numCache>
            </c:numRef>
          </c:val>
          <c:extLst>
            <c:ext xmlns:c16="http://schemas.microsoft.com/office/drawing/2014/chart" uri="{C3380CC4-5D6E-409C-BE32-E72D297353CC}">
              <c16:uniqueId val="{0000000A-65C5-4A94-A20A-04E63028BBC8}"/>
            </c:ext>
          </c:extLst>
        </c:ser>
        <c:ser>
          <c:idx val="11"/>
          <c:order val="11"/>
          <c:tx>
            <c:strRef>
              <c:f>'Job 7.4'!$R$14:$R$15</c:f>
              <c:strCache>
                <c:ptCount val="1"/>
                <c:pt idx="0">
                  <c:v>2001</c:v>
                </c:pt>
              </c:strCache>
            </c:strRef>
          </c:tx>
          <c:spPr>
            <a:ln w="31750" cap="rnd">
              <a:solidFill>
                <a:schemeClr val="accent6">
                  <a:lumMod val="60000"/>
                </a:schemeClr>
              </a:solidFill>
              <a:round/>
            </a:ln>
            <a:effectLst>
              <a:outerShdw blurRad="40000" dist="23000" dir="5400000" rotWithShape="0">
                <a:srgbClr val="000000">
                  <a:alpha val="35000"/>
                </a:srgbClr>
              </a:outerShdw>
            </a:effectLst>
          </c:spPr>
          <c:marker>
            <c:symbol val="circle"/>
            <c:size val="6"/>
            <c:spPr>
              <a:gradFill rotWithShape="1">
                <a:gsLst>
                  <a:gs pos="0">
                    <a:schemeClr val="accent6">
                      <a:lumMod val="60000"/>
                      <a:shade val="51000"/>
                      <a:satMod val="130000"/>
                    </a:schemeClr>
                  </a:gs>
                  <a:gs pos="80000">
                    <a:schemeClr val="accent6">
                      <a:lumMod val="60000"/>
                      <a:shade val="93000"/>
                      <a:satMod val="130000"/>
                    </a:schemeClr>
                  </a:gs>
                  <a:gs pos="100000">
                    <a:schemeClr val="accent6">
                      <a:lumMod val="60000"/>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cat>
            <c:strRef>
              <c:f>'Job 7.4'!$F$16:$F$28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'Job 7.4'!$R$16:$R$28</c:f>
              <c:numCache>
                <c:formatCode>0.00</c:formatCode>
                <c:ptCount val="12"/>
                <c:pt idx="0">
                  <c:v>32.299999999999997</c:v>
                </c:pt>
                <c:pt idx="1">
                  <c:v>38.5</c:v>
                </c:pt>
                <c:pt idx="2">
                  <c:v>36.200000000000003</c:v>
                </c:pt>
                <c:pt idx="3">
                  <c:v>55.5</c:v>
                </c:pt>
                <c:pt idx="4">
                  <c:v>60.8</c:v>
                </c:pt>
                <c:pt idx="5">
                  <c:v>69</c:v>
                </c:pt>
                <c:pt idx="6">
                  <c:v>72.2</c:v>
                </c:pt>
                <c:pt idx="7">
                  <c:v>64.099999999999994</c:v>
                </c:pt>
                <c:pt idx="8">
                  <c:v>65.3</c:v>
                </c:pt>
              </c:numCache>
            </c:numRef>
          </c:val>
          <c:extLst>
            <c:ext xmlns:c16="http://schemas.microsoft.com/office/drawing/2014/chart" uri="{C3380CC4-5D6E-409C-BE32-E72D297353CC}">
              <c16:uniqueId val="{0000000B-65C5-4A94-A20A-04E63028BBC8}"/>
            </c:ext>
          </c:extLst>
        </c:ser>
        <c:dLbls>
          <c:showLegendKey val="0"/>
          <c:showVal val="0"/>
          <c:showCatName val="0"/>
          <c:showSerName val="0"/>
          <c:showPercent val="0"/>
          <c:showBubbleSize val="0"/>
        </c:dLbls>
        <c:axId val="1312180896"/>
        <c:axId val="1312183296"/>
      </c:radarChart>
      <c:catAx>
        <c:axId val="1312180896"/>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12183296"/>
        <c:auto val="1"/>
        <c:lblAlgn val="ctr"/>
        <c:lblOffset val="100"/>
        <c:noMultiLvlLbl val="0"/>
      </c:catAx>
      <c:valAx>
        <c:axId val="1312183296"/>
        <c:scaling>
          <c:orientation val="minMax"/>
        </c:scaling>
        <c:delete val="0"/>
        <c:axPos val="l"/>
        <c:majorGridlines>
          <c:spPr>
            <a:ln w="9525" cap="flat" cmpd="sng" algn="ctr">
              <a:solidFill>
                <a:schemeClr val="tx2">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12180896"/>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[Database for Excel Jobs 1 thru7.xlsx]Job 7.4!PivotTable22</c:name>
    <c:fmtId val="0"/>
  </c:pivotSource>
  <c:chart>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5">
                    <a:lumMod val="60000"/>
                    <a:shade val="51000"/>
                    <a:satMod val="130000"/>
                  </a:schemeClr>
                </a:gs>
                <a:gs pos="80000">
                  <a:schemeClr val="accent5">
                    <a:lumMod val="60000"/>
                    <a:shade val="93000"/>
                    <a:satMod val="130000"/>
                  </a:schemeClr>
                </a:gs>
                <a:gs pos="100000">
                  <a:schemeClr val="accent5">
                    <a:lumMod val="60000"/>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6">
                    <a:lumMod val="60000"/>
                    <a:shade val="51000"/>
                    <a:satMod val="130000"/>
                  </a:schemeClr>
                </a:gs>
                <a:gs pos="80000">
                  <a:schemeClr val="accent6">
                    <a:lumMod val="60000"/>
                    <a:shade val="93000"/>
                    <a:satMod val="130000"/>
                  </a:schemeClr>
                </a:gs>
                <a:gs pos="100000">
                  <a:schemeClr val="accent6">
                    <a:lumMod val="60000"/>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'Job 7.4'!$G$30:$G$31</c:f>
              <c:strCache>
                <c:ptCount val="1"/>
                <c:pt idx="0">
                  <c:v>1990</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'Job 7.4'!$F$32:$F$44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'Job 7.4'!$G$32:$G$44</c:f>
              <c:numCache>
                <c:formatCode>General</c:formatCode>
                <c:ptCount val="12"/>
                <c:pt idx="0">
                  <c:v>40.799999999999997</c:v>
                </c:pt>
                <c:pt idx="1">
                  <c:v>42.2</c:v>
                </c:pt>
                <c:pt idx="2">
                  <c:v>48.1</c:v>
                </c:pt>
                <c:pt idx="3">
                  <c:v>54.3</c:v>
                </c:pt>
                <c:pt idx="4">
                  <c:v>61.6</c:v>
                </c:pt>
                <c:pt idx="5">
                  <c:v>72</c:v>
                </c:pt>
                <c:pt idx="6">
                  <c:v>76.900000000000006</c:v>
                </c:pt>
                <c:pt idx="7">
                  <c:v>73.8</c:v>
                </c:pt>
                <c:pt idx="8">
                  <c:v>66.099999999999994</c:v>
                </c:pt>
                <c:pt idx="9">
                  <c:v>58.7</c:v>
                </c:pt>
                <c:pt idx="10">
                  <c:v>48.6</c:v>
                </c:pt>
                <c:pt idx="11">
                  <c:v>41.3</c:v>
                </c:pt>
              </c:numCache>
            </c:numRef>
          </c:val>
          <c:extLst>
            <c:ext xmlns:c16="http://schemas.microsoft.com/office/drawing/2014/chart" uri="{C3380CC4-5D6E-409C-BE32-E72D297353CC}">
              <c16:uniqueId val="{00000000-76C9-4037-873C-4A0A6F807CA2}"/>
            </c:ext>
          </c:extLst>
        </c:ser>
        <c:ser>
          <c:idx val="1"/>
          <c:order val="1"/>
          <c:tx>
            <c:strRef>
              <c:f>'Job 7.4'!$H$30:$H$31</c:f>
              <c:strCache>
                <c:ptCount val="1"/>
                <c:pt idx="0">
                  <c:v>1991</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'Job 7.4'!$F$32:$F$44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'Job 7.4'!$H$32:$H$44</c:f>
              <c:numCache>
                <c:formatCode>General</c:formatCode>
                <c:ptCount val="12"/>
                <c:pt idx="0">
                  <c:v>34</c:v>
                </c:pt>
                <c:pt idx="1">
                  <c:v>39.5</c:v>
                </c:pt>
                <c:pt idx="2">
                  <c:v>46.1</c:v>
                </c:pt>
                <c:pt idx="3">
                  <c:v>56</c:v>
                </c:pt>
                <c:pt idx="4">
                  <c:v>69.3</c:v>
                </c:pt>
                <c:pt idx="5">
                  <c:v>72.3</c:v>
                </c:pt>
                <c:pt idx="6">
                  <c:v>77.900000000000006</c:v>
                </c:pt>
                <c:pt idx="7">
                  <c:v>77</c:v>
                </c:pt>
                <c:pt idx="8">
                  <c:v>67.599999999999994</c:v>
                </c:pt>
                <c:pt idx="9">
                  <c:v>56.6</c:v>
                </c:pt>
                <c:pt idx="10">
                  <c:v>45.7</c:v>
                </c:pt>
                <c:pt idx="11">
                  <c:v>38.5</c:v>
                </c:pt>
              </c:numCache>
            </c:numRef>
          </c:val>
          <c:extLst>
            <c:ext xmlns:c16="http://schemas.microsoft.com/office/drawing/2014/chart" uri="{C3380CC4-5D6E-409C-BE32-E72D297353CC}">
              <c16:uniqueId val="{00000001-76C9-4037-873C-4A0A6F807CA2}"/>
            </c:ext>
          </c:extLst>
        </c:ser>
        <c:ser>
          <c:idx val="2"/>
          <c:order val="2"/>
          <c:tx>
            <c:strRef>
              <c:f>'Job 7.4'!$I$30:$I$31</c:f>
              <c:strCache>
                <c:ptCount val="1"/>
                <c:pt idx="0">
                  <c:v>1992</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'Job 7.4'!$F$32:$F$44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'Job 7.4'!$I$32:$I$44</c:f>
              <c:numCache>
                <c:formatCode>General</c:formatCode>
                <c:ptCount val="12"/>
                <c:pt idx="0">
                  <c:v>35</c:v>
                </c:pt>
                <c:pt idx="1">
                  <c:v>38</c:v>
                </c:pt>
                <c:pt idx="2">
                  <c:v>41.9</c:v>
                </c:pt>
                <c:pt idx="3">
                  <c:v>53.1</c:v>
                </c:pt>
                <c:pt idx="4">
                  <c:v>59.7</c:v>
                </c:pt>
                <c:pt idx="5">
                  <c:v>68.599999999999994</c:v>
                </c:pt>
                <c:pt idx="6">
                  <c:v>75.900000000000006</c:v>
                </c:pt>
                <c:pt idx="7">
                  <c:v>70.400000000000006</c:v>
                </c:pt>
                <c:pt idx="8">
                  <c:v>66</c:v>
                </c:pt>
                <c:pt idx="9">
                  <c:v>52.2</c:v>
                </c:pt>
                <c:pt idx="10">
                  <c:v>45.7</c:v>
                </c:pt>
                <c:pt idx="11">
                  <c:v>36.799999999999997</c:v>
                </c:pt>
              </c:numCache>
            </c:numRef>
          </c:val>
          <c:extLst>
            <c:ext xmlns:c16="http://schemas.microsoft.com/office/drawing/2014/chart" uri="{C3380CC4-5D6E-409C-BE32-E72D297353CC}">
              <c16:uniqueId val="{00000002-76C9-4037-873C-4A0A6F807CA2}"/>
            </c:ext>
          </c:extLst>
        </c:ser>
        <c:ser>
          <c:idx val="3"/>
          <c:order val="3"/>
          <c:tx>
            <c:strRef>
              <c:f>'Job 7.4'!$J$30:$J$31</c:f>
              <c:strCache>
                <c:ptCount val="1"/>
                <c:pt idx="0">
                  <c:v>1993</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'Job 7.4'!$F$32:$F$44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'Job 7.4'!$J$32:$J$44</c:f>
              <c:numCache>
                <c:formatCode>General</c:formatCode>
                <c:ptCount val="12"/>
                <c:pt idx="0">
                  <c:v>36.799999999999997</c:v>
                </c:pt>
                <c:pt idx="1">
                  <c:v>31.7</c:v>
                </c:pt>
                <c:pt idx="2">
                  <c:v>39.299999999999997</c:v>
                </c:pt>
                <c:pt idx="3">
                  <c:v>52.6</c:v>
                </c:pt>
                <c:pt idx="4">
                  <c:v>64.5</c:v>
                </c:pt>
                <c:pt idx="5">
                  <c:v>72</c:v>
                </c:pt>
                <c:pt idx="6">
                  <c:v>79.7</c:v>
                </c:pt>
                <c:pt idx="7">
                  <c:v>78</c:v>
                </c:pt>
                <c:pt idx="8">
                  <c:v>68.7</c:v>
                </c:pt>
                <c:pt idx="9">
                  <c:v>54.2</c:v>
                </c:pt>
                <c:pt idx="10">
                  <c:v>45.3</c:v>
                </c:pt>
                <c:pt idx="11">
                  <c:v>34</c:v>
                </c:pt>
              </c:numCache>
            </c:numRef>
          </c:val>
          <c:extLst>
            <c:ext xmlns:c16="http://schemas.microsoft.com/office/drawing/2014/chart" uri="{C3380CC4-5D6E-409C-BE32-E72D297353CC}">
              <c16:uniqueId val="{00000003-76C9-4037-873C-4A0A6F807CA2}"/>
            </c:ext>
          </c:extLst>
        </c:ser>
        <c:ser>
          <c:idx val="4"/>
          <c:order val="4"/>
          <c:tx>
            <c:strRef>
              <c:f>'Job 7.4'!$K$30:$K$31</c:f>
              <c:strCache>
                <c:ptCount val="1"/>
                <c:pt idx="0">
                  <c:v>1994</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'Job 7.4'!$F$32:$F$44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'Job 7.4'!$K$32:$K$44</c:f>
              <c:numCache>
                <c:formatCode>General</c:formatCode>
                <c:ptCount val="12"/>
                <c:pt idx="0">
                  <c:v>26.1</c:v>
                </c:pt>
                <c:pt idx="1">
                  <c:v>33.299999999999997</c:v>
                </c:pt>
                <c:pt idx="2">
                  <c:v>42.7</c:v>
                </c:pt>
                <c:pt idx="3">
                  <c:v>60.1</c:v>
                </c:pt>
                <c:pt idx="4">
                  <c:v>59.9</c:v>
                </c:pt>
                <c:pt idx="5">
                  <c:v>76.099999999999994</c:v>
                </c:pt>
                <c:pt idx="6">
                  <c:v>79.5</c:v>
                </c:pt>
                <c:pt idx="7">
                  <c:v>73.8</c:v>
                </c:pt>
                <c:pt idx="8">
                  <c:v>66.7</c:v>
                </c:pt>
                <c:pt idx="9">
                  <c:v>53.9</c:v>
                </c:pt>
                <c:pt idx="10">
                  <c:v>49.1</c:v>
                </c:pt>
                <c:pt idx="11">
                  <c:v>40.299999999999997</c:v>
                </c:pt>
              </c:numCache>
            </c:numRef>
          </c:val>
          <c:extLst>
            <c:ext xmlns:c16="http://schemas.microsoft.com/office/drawing/2014/chart" uri="{C3380CC4-5D6E-409C-BE32-E72D297353CC}">
              <c16:uniqueId val="{00000004-76C9-4037-873C-4A0A6F807CA2}"/>
            </c:ext>
          </c:extLst>
        </c:ser>
        <c:ser>
          <c:idx val="5"/>
          <c:order val="5"/>
          <c:tx>
            <c:strRef>
              <c:f>'Job 7.4'!$L$30:$L$31</c:f>
              <c:strCache>
                <c:ptCount val="1"/>
                <c:pt idx="0">
                  <c:v>1995</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'Job 7.4'!$F$32:$F$44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'Job 7.4'!$L$32:$L$44</c:f>
              <c:numCache>
                <c:formatCode>General</c:formatCode>
                <c:ptCount val="12"/>
                <c:pt idx="0">
                  <c:v>37.200000000000003</c:v>
                </c:pt>
                <c:pt idx="1">
                  <c:v>31.3</c:v>
                </c:pt>
                <c:pt idx="2">
                  <c:v>46.1</c:v>
                </c:pt>
                <c:pt idx="3">
                  <c:v>52.6</c:v>
                </c:pt>
                <c:pt idx="4">
                  <c:v>62.7</c:v>
                </c:pt>
                <c:pt idx="5">
                  <c:v>71.5</c:v>
                </c:pt>
                <c:pt idx="6">
                  <c:v>78.2</c:v>
                </c:pt>
                <c:pt idx="7">
                  <c:v>77.599999999999994</c:v>
                </c:pt>
                <c:pt idx="8">
                  <c:v>67.099999999999994</c:v>
                </c:pt>
                <c:pt idx="9">
                  <c:v>58.3</c:v>
                </c:pt>
                <c:pt idx="10">
                  <c:v>39.700000000000003</c:v>
                </c:pt>
                <c:pt idx="11">
                  <c:v>33</c:v>
                </c:pt>
              </c:numCache>
            </c:numRef>
          </c:val>
          <c:extLst>
            <c:ext xmlns:c16="http://schemas.microsoft.com/office/drawing/2014/chart" uri="{C3380CC4-5D6E-409C-BE32-E72D297353CC}">
              <c16:uniqueId val="{00000005-76C9-4037-873C-4A0A6F807CA2}"/>
            </c:ext>
          </c:extLst>
        </c:ser>
        <c:ser>
          <c:idx val="6"/>
          <c:order val="6"/>
          <c:tx>
            <c:strRef>
              <c:f>'Job 7.4'!$M$30:$M$31</c:f>
              <c:strCache>
                <c:ptCount val="1"/>
                <c:pt idx="0">
                  <c:v>1996</c:v>
                </c:pt>
              </c:strCache>
            </c:strRef>
          </c:tx>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'Job 7.4'!$F$32:$F$44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'Job 7.4'!$M$32:$M$44</c:f>
              <c:numCache>
                <c:formatCode>General</c:formatCode>
                <c:ptCount val="12"/>
                <c:pt idx="0">
                  <c:v>30</c:v>
                </c:pt>
                <c:pt idx="1">
                  <c:v>34.700000000000003</c:v>
                </c:pt>
                <c:pt idx="2">
                  <c:v>39.700000000000003</c:v>
                </c:pt>
                <c:pt idx="3">
                  <c:v>54.6</c:v>
                </c:pt>
                <c:pt idx="4">
                  <c:v>59.7</c:v>
                </c:pt>
                <c:pt idx="5">
                  <c:v>72.8</c:v>
                </c:pt>
                <c:pt idx="6">
                  <c:v>72.900000000000006</c:v>
                </c:pt>
                <c:pt idx="7">
                  <c:v>72.7</c:v>
                </c:pt>
                <c:pt idx="8">
                  <c:v>67.099999999999994</c:v>
                </c:pt>
                <c:pt idx="9">
                  <c:v>55.7</c:v>
                </c:pt>
                <c:pt idx="10">
                  <c:v>39.299999999999997</c:v>
                </c:pt>
                <c:pt idx="11">
                  <c:v>38.299999999999997</c:v>
                </c:pt>
              </c:numCache>
            </c:numRef>
          </c:val>
          <c:extLst>
            <c:ext xmlns:c16="http://schemas.microsoft.com/office/drawing/2014/chart" uri="{C3380CC4-5D6E-409C-BE32-E72D297353CC}">
              <c16:uniqueId val="{00000006-76C9-4037-873C-4A0A6F807CA2}"/>
            </c:ext>
          </c:extLst>
        </c:ser>
        <c:ser>
          <c:idx val="7"/>
          <c:order val="7"/>
          <c:tx>
            <c:strRef>
              <c:f>'Job 7.4'!$N$30:$N$31</c:f>
              <c:strCache>
                <c:ptCount val="1"/>
                <c:pt idx="0">
                  <c:v>1997</c:v>
                </c:pt>
              </c:strCache>
            </c:strRef>
          </c:tx>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'Job 7.4'!$F$32:$F$44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'Job 7.4'!$N$32:$N$44</c:f>
              <c:numCache>
                <c:formatCode>General</c:formatCode>
                <c:ptCount val="12"/>
                <c:pt idx="0">
                  <c:v>32.5</c:v>
                </c:pt>
                <c:pt idx="1">
                  <c:v>40.5</c:v>
                </c:pt>
                <c:pt idx="2">
                  <c:v>44.6</c:v>
                </c:pt>
                <c:pt idx="3">
                  <c:v>50.3</c:v>
                </c:pt>
                <c:pt idx="4">
                  <c:v>58.8</c:v>
                </c:pt>
                <c:pt idx="5">
                  <c:v>69.099999999999994</c:v>
                </c:pt>
                <c:pt idx="6">
                  <c:v>75.8</c:v>
                </c:pt>
                <c:pt idx="7">
                  <c:v>73.3</c:v>
                </c:pt>
                <c:pt idx="8">
                  <c:v>65.099999999999994</c:v>
                </c:pt>
                <c:pt idx="9">
                  <c:v>53.7</c:v>
                </c:pt>
                <c:pt idx="10">
                  <c:v>43.6</c:v>
                </c:pt>
                <c:pt idx="11">
                  <c:v>37.200000000000003</c:v>
                </c:pt>
              </c:numCache>
            </c:numRef>
          </c:val>
          <c:extLst>
            <c:ext xmlns:c16="http://schemas.microsoft.com/office/drawing/2014/chart" uri="{C3380CC4-5D6E-409C-BE32-E72D297353CC}">
              <c16:uniqueId val="{00000007-76C9-4037-873C-4A0A6F807CA2}"/>
            </c:ext>
          </c:extLst>
        </c:ser>
        <c:ser>
          <c:idx val="8"/>
          <c:order val="8"/>
          <c:tx>
            <c:strRef>
              <c:f>'Job 7.4'!$O$30:$O$31</c:f>
              <c:strCache>
                <c:ptCount val="1"/>
                <c:pt idx="0">
                  <c:v>1998</c:v>
                </c:pt>
              </c:strCache>
            </c:strRef>
          </c:tx>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'Job 7.4'!$F$32:$F$44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'Job 7.4'!$O$32:$O$44</c:f>
              <c:numCache>
                <c:formatCode>General</c:formatCode>
                <c:ptCount val="12"/>
                <c:pt idx="0">
                  <c:v>40.1</c:v>
                </c:pt>
                <c:pt idx="1">
                  <c:v>41</c:v>
                </c:pt>
                <c:pt idx="2">
                  <c:v>45.5</c:v>
                </c:pt>
                <c:pt idx="3">
                  <c:v>54.9</c:v>
                </c:pt>
                <c:pt idx="4">
                  <c:v>66</c:v>
                </c:pt>
                <c:pt idx="5">
                  <c:v>70.400000000000006</c:v>
                </c:pt>
                <c:pt idx="6">
                  <c:v>75.3</c:v>
                </c:pt>
                <c:pt idx="7">
                  <c:v>76.2</c:v>
                </c:pt>
                <c:pt idx="8">
                  <c:v>72.7</c:v>
                </c:pt>
                <c:pt idx="9">
                  <c:v>56.2</c:v>
                </c:pt>
                <c:pt idx="10">
                  <c:v>45.6</c:v>
                </c:pt>
                <c:pt idx="11">
                  <c:v>40.9</c:v>
                </c:pt>
              </c:numCache>
            </c:numRef>
          </c:val>
          <c:extLst>
            <c:ext xmlns:c16="http://schemas.microsoft.com/office/drawing/2014/chart" uri="{C3380CC4-5D6E-409C-BE32-E72D297353CC}">
              <c16:uniqueId val="{00000008-76C9-4037-873C-4A0A6F807CA2}"/>
            </c:ext>
          </c:extLst>
        </c:ser>
        <c:ser>
          <c:idx val="9"/>
          <c:order val="9"/>
          <c:tx>
            <c:strRef>
              <c:f>'Job 7.4'!$P$30:$P$31</c:f>
              <c:strCache>
                <c:ptCount val="1"/>
                <c:pt idx="0">
                  <c:v>1999</c:v>
                </c:pt>
              </c:strCache>
            </c:strRef>
          </c:tx>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'Job 7.4'!$F$32:$F$44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'Job 7.4'!$P$32:$P$44</c:f>
              <c:numCache>
                <c:formatCode>General</c:formatCode>
                <c:ptCount val="12"/>
                <c:pt idx="0">
                  <c:v>34.9</c:v>
                </c:pt>
                <c:pt idx="1">
                  <c:v>37.5</c:v>
                </c:pt>
                <c:pt idx="2">
                  <c:v>41.4</c:v>
                </c:pt>
                <c:pt idx="3">
                  <c:v>53</c:v>
                </c:pt>
                <c:pt idx="4">
                  <c:v>62.8</c:v>
                </c:pt>
                <c:pt idx="5">
                  <c:v>70.8</c:v>
                </c:pt>
                <c:pt idx="6">
                  <c:v>78.5</c:v>
                </c:pt>
                <c:pt idx="7">
                  <c:v>75.400000000000006</c:v>
                </c:pt>
                <c:pt idx="8">
                  <c:v>67</c:v>
                </c:pt>
                <c:pt idx="9">
                  <c:v>53.1</c:v>
                </c:pt>
                <c:pt idx="10">
                  <c:v>50.1</c:v>
                </c:pt>
                <c:pt idx="11">
                  <c:v>38.200000000000003</c:v>
                </c:pt>
              </c:numCache>
            </c:numRef>
          </c:val>
          <c:extLst>
            <c:ext xmlns:c16="http://schemas.microsoft.com/office/drawing/2014/chart" uri="{C3380CC4-5D6E-409C-BE32-E72D297353CC}">
              <c16:uniqueId val="{00000009-76C9-4037-873C-4A0A6F807CA2}"/>
            </c:ext>
          </c:extLst>
        </c:ser>
        <c:ser>
          <c:idx val="10"/>
          <c:order val="10"/>
          <c:tx>
            <c:strRef>
              <c:f>'Job 7.4'!$Q$30:$Q$31</c:f>
              <c:strCache>
                <c:ptCount val="1"/>
                <c:pt idx="0">
                  <c:v>2000</c:v>
                </c:pt>
              </c:strCache>
            </c:strRef>
          </c:tx>
          <c:spPr>
            <a:gradFill rotWithShape="1">
              <a:gsLst>
                <a:gs pos="0">
                  <a:schemeClr val="accent5">
                    <a:lumMod val="60000"/>
                    <a:shade val="51000"/>
                    <a:satMod val="130000"/>
                  </a:schemeClr>
                </a:gs>
                <a:gs pos="80000">
                  <a:schemeClr val="accent5">
                    <a:lumMod val="60000"/>
                    <a:shade val="93000"/>
                    <a:satMod val="130000"/>
                  </a:schemeClr>
                </a:gs>
                <a:gs pos="100000">
                  <a:schemeClr val="accent5">
                    <a:lumMod val="60000"/>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'Job 7.4'!$F$32:$F$44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'Job 7.4'!$Q$32:$Q$44</c:f>
              <c:numCache>
                <c:formatCode>General</c:formatCode>
                <c:ptCount val="12"/>
                <c:pt idx="0">
                  <c:v>32.700000000000003</c:v>
                </c:pt>
                <c:pt idx="1">
                  <c:v>36.799999999999997</c:v>
                </c:pt>
                <c:pt idx="2">
                  <c:v>48.2</c:v>
                </c:pt>
                <c:pt idx="3">
                  <c:v>53.6</c:v>
                </c:pt>
                <c:pt idx="4">
                  <c:v>64.8</c:v>
                </c:pt>
                <c:pt idx="5">
                  <c:v>72.3</c:v>
                </c:pt>
                <c:pt idx="6">
                  <c:v>72.099999999999994</c:v>
                </c:pt>
                <c:pt idx="7">
                  <c:v>73</c:v>
                </c:pt>
                <c:pt idx="8">
                  <c:v>65.2</c:v>
                </c:pt>
                <c:pt idx="9">
                  <c:v>57.2</c:v>
                </c:pt>
                <c:pt idx="10">
                  <c:v>42.9</c:v>
                </c:pt>
                <c:pt idx="11">
                  <c:v>28.1</c:v>
                </c:pt>
              </c:numCache>
            </c:numRef>
          </c:val>
          <c:extLst>
            <c:ext xmlns:c16="http://schemas.microsoft.com/office/drawing/2014/chart" uri="{C3380CC4-5D6E-409C-BE32-E72D297353CC}">
              <c16:uniqueId val="{0000000A-76C9-4037-873C-4A0A6F807CA2}"/>
            </c:ext>
          </c:extLst>
        </c:ser>
        <c:ser>
          <c:idx val="11"/>
          <c:order val="11"/>
          <c:tx>
            <c:strRef>
              <c:f>'Job 7.4'!$R$30:$R$31</c:f>
              <c:strCache>
                <c:ptCount val="1"/>
                <c:pt idx="0">
                  <c:v>2001</c:v>
                </c:pt>
              </c:strCache>
            </c:strRef>
          </c:tx>
          <c:spPr>
            <a:gradFill rotWithShape="1">
              <a:gsLst>
                <a:gs pos="0">
                  <a:schemeClr val="accent6">
                    <a:lumMod val="60000"/>
                    <a:shade val="51000"/>
                    <a:satMod val="130000"/>
                  </a:schemeClr>
                </a:gs>
                <a:gs pos="80000">
                  <a:schemeClr val="accent6">
                    <a:lumMod val="60000"/>
                    <a:shade val="93000"/>
                    <a:satMod val="130000"/>
                  </a:schemeClr>
                </a:gs>
                <a:gs pos="100000">
                  <a:schemeClr val="accent6">
                    <a:lumMod val="60000"/>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'Job 7.4'!$F$32:$F$44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'Job 7.4'!$R$32:$R$44</c:f>
              <c:numCache>
                <c:formatCode>General</c:formatCode>
                <c:ptCount val="12"/>
                <c:pt idx="0">
                  <c:v>32.299999999999997</c:v>
                </c:pt>
                <c:pt idx="1">
                  <c:v>38.5</c:v>
                </c:pt>
                <c:pt idx="2">
                  <c:v>36.200000000000003</c:v>
                </c:pt>
                <c:pt idx="3">
                  <c:v>55.5</c:v>
                </c:pt>
                <c:pt idx="4">
                  <c:v>60.8</c:v>
                </c:pt>
                <c:pt idx="5">
                  <c:v>69</c:v>
                </c:pt>
                <c:pt idx="6">
                  <c:v>72.2</c:v>
                </c:pt>
                <c:pt idx="7">
                  <c:v>64.099999999999994</c:v>
                </c:pt>
                <c:pt idx="8">
                  <c:v>65.3</c:v>
                </c:pt>
              </c:numCache>
            </c:numRef>
          </c:val>
          <c:extLst>
            <c:ext xmlns:c16="http://schemas.microsoft.com/office/drawing/2014/chart" uri="{C3380CC4-5D6E-409C-BE32-E72D297353CC}">
              <c16:uniqueId val="{0000000B-76C9-4037-873C-4A0A6F807CA2}"/>
            </c:ext>
          </c:extLst>
        </c:ser>
        <c:dLbls>
          <c:showLegendKey val="0"/>
          <c:showVal val="0"/>
          <c:showCatName val="0"/>
          <c:showSerName val="0"/>
          <c:showPercent val="0"/>
          <c:showBubbleSize val="0"/>
        </c:dLbls>
        <c:gapWidth val="100"/>
        <c:overlap val="-24"/>
        <c:axId val="1336205264"/>
        <c:axId val="1336200944"/>
      </c:barChart>
      <c:catAx>
        <c:axId val="1336205264"/>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36200944"/>
        <c:crosses val="autoZero"/>
        <c:auto val="1"/>
        <c:lblAlgn val="ctr"/>
        <c:lblOffset val="100"/>
        <c:noMultiLvlLbl val="0"/>
      </c:catAx>
      <c:valAx>
        <c:axId val="1336200944"/>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36205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[Database for Excel Jobs 1 thru7.xlsx]Database 2  &amp; Instructions!PivotTable24</c:name>
    <c:fmtId val="0"/>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'Database 2  &amp; Instructions'!$H$16:$H$17</c:f>
              <c:strCache>
                <c:ptCount val="1"/>
                <c:pt idx="0">
                  <c:v>Book</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'Database 2  &amp; Instructions'!$G$18:$G$22</c:f>
              <c:strCache>
                <c:ptCount val="4"/>
                <c:pt idx="0">
                  <c:v>East</c:v>
                </c:pt>
                <c:pt idx="1">
                  <c:v>North</c:v>
                </c:pt>
                <c:pt idx="2">
                  <c:v>South</c:v>
                </c:pt>
                <c:pt idx="3">
                  <c:v>West</c:v>
                </c:pt>
              </c:strCache>
            </c:strRef>
          </c:cat>
          <c:val>
            <c:numRef>
              <c:f>'Database 2  &amp; Instructions'!$H$18:$H$22</c:f>
              <c:numCache>
                <c:formatCode>General</c:formatCode>
                <c:ptCount val="4"/>
                <c:pt idx="0">
                  <c:v>56</c:v>
                </c:pt>
                <c:pt idx="1">
                  <c:v>43</c:v>
                </c:pt>
                <c:pt idx="2">
                  <c:v>62</c:v>
                </c:pt>
                <c:pt idx="3">
                  <c:v>100</c:v>
                </c:pt>
              </c:numCache>
            </c:numRef>
          </c:val>
          <c:extLst>
            <c:ext xmlns:c16="http://schemas.microsoft.com/office/drawing/2014/chart" uri="{C3380CC4-5D6E-409C-BE32-E72D297353CC}">
              <c16:uniqueId val="{00000000-1021-46C7-9A3D-5937003D46FF}"/>
            </c:ext>
          </c:extLst>
        </c:ser>
        <c:ser>
          <c:idx val="1"/>
          <c:order val="1"/>
          <c:tx>
            <c:strRef>
              <c:f>'Database 2  &amp; Instructions'!$I$16:$I$17</c:f>
              <c:strCache>
                <c:ptCount val="1"/>
                <c:pt idx="0">
                  <c:v>DVD</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'Database 2  &amp; Instructions'!$G$18:$G$22</c:f>
              <c:strCache>
                <c:ptCount val="4"/>
                <c:pt idx="0">
                  <c:v>East</c:v>
                </c:pt>
                <c:pt idx="1">
                  <c:v>North</c:v>
                </c:pt>
                <c:pt idx="2">
                  <c:v>South</c:v>
                </c:pt>
                <c:pt idx="3">
                  <c:v>West</c:v>
                </c:pt>
              </c:strCache>
            </c:strRef>
          </c:cat>
          <c:val>
            <c:numRef>
              <c:f>'Database 2  &amp; Instructions'!$I$18:$I$22</c:f>
              <c:numCache>
                <c:formatCode>General</c:formatCode>
                <c:ptCount val="4"/>
                <c:pt idx="0">
                  <c:v>42</c:v>
                </c:pt>
                <c:pt idx="1">
                  <c:v>42</c:v>
                </c:pt>
                <c:pt idx="2">
                  <c:v>37</c:v>
                </c:pt>
                <c:pt idx="3">
                  <c:v>90</c:v>
                </c:pt>
              </c:numCache>
            </c:numRef>
          </c:val>
          <c:extLst>
            <c:ext xmlns:c16="http://schemas.microsoft.com/office/drawing/2014/chart" uri="{C3380CC4-5D6E-409C-BE32-E72D297353CC}">
              <c16:uniqueId val="{00000001-1021-46C7-9A3D-5937003D46FF}"/>
            </c:ext>
          </c:extLst>
        </c:ser>
        <c:dLbls>
          <c:showLegendKey val="0"/>
          <c:showVal val="0"/>
          <c:showCatName val="0"/>
          <c:showSerName val="0"/>
          <c:showPercent val="0"/>
          <c:showBubbleSize val="0"/>
        </c:dLbls>
        <c:gapWidth val="100"/>
        <c:overlap val="-24"/>
        <c:axId val="1329898272"/>
        <c:axId val="1329901152"/>
      </c:barChart>
      <c:catAx>
        <c:axId val="1329898272"/>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29901152"/>
        <c:crosses val="autoZero"/>
        <c:auto val="1"/>
        <c:lblAlgn val="ctr"/>
        <c:lblOffset val="100"/>
        <c:noMultiLvlLbl val="0"/>
      </c:catAx>
      <c:valAx>
        <c:axId val="1329901152"/>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29898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[Database for Excel Jobs 1 thru7.xlsx]Database 2  &amp; Instructions!PivotTable25</c:name>
    <c:fmtId val="0"/>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'Database 2  &amp; Instructions'!$H$37:$H$38</c:f>
              <c:strCache>
                <c:ptCount val="1"/>
                <c:pt idx="0">
                  <c:v>Book</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'Database 2  &amp; Instructions'!$G$39:$G$43</c:f>
              <c:strCache>
                <c:ptCount val="4"/>
                <c:pt idx="0">
                  <c:v>East</c:v>
                </c:pt>
                <c:pt idx="1">
                  <c:v>North</c:v>
                </c:pt>
                <c:pt idx="2">
                  <c:v>South</c:v>
                </c:pt>
                <c:pt idx="3">
                  <c:v>West</c:v>
                </c:pt>
              </c:strCache>
            </c:strRef>
          </c:cat>
          <c:val>
            <c:numRef>
              <c:f>'Database 2  &amp; Instructions'!$H$39:$H$43</c:f>
              <c:numCache>
                <c:formatCode>General</c:formatCode>
                <c:ptCount val="4"/>
                <c:pt idx="0">
                  <c:v>60.077500000000001</c:v>
                </c:pt>
                <c:pt idx="1">
                  <c:v>46.727209302325583</c:v>
                </c:pt>
                <c:pt idx="2">
                  <c:v>59.407419354838694</c:v>
                </c:pt>
                <c:pt idx="3">
                  <c:v>56.154000000000032</c:v>
                </c:pt>
              </c:numCache>
            </c:numRef>
          </c:val>
          <c:extLst>
            <c:ext xmlns:c16="http://schemas.microsoft.com/office/drawing/2014/chart" uri="{C3380CC4-5D6E-409C-BE32-E72D297353CC}">
              <c16:uniqueId val="{00000000-699F-41BE-B417-FE17B623C66C}"/>
            </c:ext>
          </c:extLst>
        </c:ser>
        <c:ser>
          <c:idx val="1"/>
          <c:order val="1"/>
          <c:tx>
            <c:strRef>
              <c:f>'Database 2  &amp; Instructions'!$I$37:$I$38</c:f>
              <c:strCache>
                <c:ptCount val="1"/>
                <c:pt idx="0">
                  <c:v>DVD</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'Database 2  &amp; Instructions'!$G$39:$G$43</c:f>
              <c:strCache>
                <c:ptCount val="4"/>
                <c:pt idx="0">
                  <c:v>East</c:v>
                </c:pt>
                <c:pt idx="1">
                  <c:v>North</c:v>
                </c:pt>
                <c:pt idx="2">
                  <c:v>South</c:v>
                </c:pt>
                <c:pt idx="3">
                  <c:v>West</c:v>
                </c:pt>
              </c:strCache>
            </c:strRef>
          </c:cat>
          <c:val>
            <c:numRef>
              <c:f>'Database 2  &amp; Instructions'!$I$39:$I$43</c:f>
              <c:numCache>
                <c:formatCode>General</c:formatCode>
                <c:ptCount val="4"/>
                <c:pt idx="0">
                  <c:v>19.192857142857143</c:v>
                </c:pt>
                <c:pt idx="1">
                  <c:v>19.999285714285715</c:v>
                </c:pt>
                <c:pt idx="2">
                  <c:v>19.968918918918924</c:v>
                </c:pt>
                <c:pt idx="3">
                  <c:v>19.969222222222221</c:v>
                </c:pt>
              </c:numCache>
            </c:numRef>
          </c:val>
          <c:extLst>
            <c:ext xmlns:c16="http://schemas.microsoft.com/office/drawing/2014/chart" uri="{C3380CC4-5D6E-409C-BE32-E72D297353CC}">
              <c16:uniqueId val="{00000001-699F-41BE-B417-FE17B623C66C}"/>
            </c:ext>
          </c:extLst>
        </c:ser>
        <c:dLbls>
          <c:showLegendKey val="0"/>
          <c:showVal val="0"/>
          <c:showCatName val="0"/>
          <c:showSerName val="0"/>
          <c:showPercent val="0"/>
          <c:showBubbleSize val="0"/>
        </c:dLbls>
        <c:gapWidth val="100"/>
        <c:overlap val="-24"/>
        <c:axId val="1992387471"/>
        <c:axId val="1992388431"/>
      </c:barChart>
      <c:catAx>
        <c:axId val="1992387471"/>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92388431"/>
        <c:crosses val="autoZero"/>
        <c:auto val="1"/>
        <c:lblAlgn val="ctr"/>
        <c:lblOffset val="100"/>
        <c:noMultiLvlLbl val="0"/>
      </c:catAx>
      <c:valAx>
        <c:axId val="1992388431"/>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92387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_xlchart.v1.15</cx:f>
      </cx:strDim>
      <cx:numDim type="val">
        <cx:f>_xlchart.v1.19</cx:f>
      </cx:numDim>
    </cx:data>
  </cx:chartData>
  <cx:chart>
    <cx:title pos="t" align="ctr" overlay="0">
      <cx:tx>
        <cx:txData>
          <cx:v>Washington D.C. Temperatures</cx:v>
        </cx:txData>
      </cx:tx>
      <cx:txPr>
        <a:bodyPr spcFirstLastPara="1" vertOverflow="ellipsis" horzOverflow="overflow" wrap="square" lIns="0" tIns="0" rIns="0" bIns="0" anchor="ctr" anchorCtr="1"/>
        <a:lstStyle/>
        <a:p>
          <a:pPr algn="ctr" rtl="0">
            <a:defRPr/>
          </a:pPr>
          <a:r>
            <a:rPr lang="en-US" sz="1500" b="1" i="0" u="none" strike="noStrike" cap="all" spc="100" baseline="0">
              <a:solidFill>
                <a:sysClr val="window" lastClr="FFFFFF"/>
              </a:solidFill>
              <a:latin typeface="Calibri"/>
            </a:rPr>
            <a:t>Washington D.C. Temperatures</a:t>
          </a:r>
        </a:p>
      </cx:txPr>
    </cx:title>
    <cx:plotArea>
      <cx:plotAreaRegion>
        <cx:series layoutId="clusteredColumn" uniqueId="{A324E3D4-F1FC-42FB-A914-9B35351D9F3E}" formatIdx="1">
          <cx:tx>
            <cx:txData>
              <cx:f>_xlchart.v1.18</cx:f>
              <cx:v>Temperature</cx:v>
            </cx:txData>
          </cx:tx>
          <cx:dataId val="0"/>
          <cx:layoutPr>
            <cx:binning intervalClosed="r">
              <cx:binCount val="10"/>
            </cx:binning>
          </cx:layoutPr>
        </cx:series>
      </cx:plotAreaRegion>
      <cx:axis id="0">
        <cx:catScaling gapWidth="0"/>
        <cx:tickLabels/>
        <cx:numFmt formatCode="#,##0.0" sourceLinked="0"/>
      </cx:axis>
      <cx:axis id="1">
        <cx:valScaling/>
        <cx:majorGridlines/>
        <cx:tickLabels/>
      </cx:axis>
    </cx:plotArea>
  </cx:chart>
  <cx:spPr>
    <a:solidFill>
      <a:srgbClr val="FF0000"/>
    </a:solidFill>
    <a:ln>
      <a:solidFill>
        <a:schemeClr val="tx1"/>
      </a:solid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_xlchart.v1.20</cx:f>
      </cx:strDim>
      <cx:numDim type="val">
        <cx:f>_xlchart.v1.24</cx:f>
      </cx:numDim>
    </cx:data>
  </cx:chartData>
  <cx:chart>
    <cx:title pos="t" align="ctr" overlay="0">
      <cx:tx>
        <cx:txData>
          <cx:v>Washington D.C. Temperatures</cx:v>
        </cx:txData>
      </cx:tx>
      <cx:txPr>
        <a:bodyPr spcFirstLastPara="1" vertOverflow="ellipsis" horzOverflow="overflow" wrap="square" lIns="0" tIns="0" rIns="0" bIns="0" anchor="ctr" anchorCtr="1"/>
        <a:lstStyle/>
        <a:p>
          <a:pPr algn="ctr" rtl="0">
            <a:defRPr/>
          </a:pPr>
          <a:r>
            <a:rPr lang="en-US" sz="1500" b="1" i="0" u="none" strike="noStrike" cap="all" spc="100" baseline="0">
              <a:solidFill>
                <a:sysClr val="window" lastClr="FFFFFF"/>
              </a:solidFill>
              <a:latin typeface="Calibri"/>
            </a:rPr>
            <a:t>Washington D.C. Temperatures</a:t>
          </a:r>
        </a:p>
      </cx:txPr>
    </cx:title>
    <cx:plotArea>
      <cx:plotAreaRegion>
        <cx:series layoutId="clusteredColumn" uniqueId="{A324E3D4-F1FC-42FB-A914-9B35351D9F3E}" formatIdx="1">
          <cx:tx>
            <cx:txData>
              <cx:f>_xlchart.v1.23</cx:f>
              <cx:v>Temperature</cx:v>
            </cx:txData>
          </cx:tx>
          <cx:dataId val="0"/>
          <cx:layoutPr>
            <cx:binning intervalClosed="r">
              <cx:binSize val="7"/>
            </cx:binning>
          </cx:layoutPr>
        </cx:series>
      </cx:plotAreaRegion>
      <cx:axis id="0">
        <cx:catScaling gapWidth="0"/>
        <cx:tickLabels/>
        <cx:numFmt formatCode="#,##0.0" sourceLinked="0"/>
      </cx:axis>
      <cx:axis id="1">
        <cx:valScaling/>
        <cx:majorGridlines/>
        <cx:tickLabels/>
      </cx:axis>
    </cx:plotArea>
  </cx:chart>
  <cx:spPr>
    <a:solidFill>
      <a:srgbClr val="FF0000"/>
    </a:solidFill>
    <a:ln>
      <a:solidFill>
        <a:schemeClr val="tx1"/>
      </a:solid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_xlchart.v1.47</cx:f>
      </cx:strDim>
      <cx:numDim type="val">
        <cx:f>_xlchart.v1.48</cx:f>
      </cx:numDim>
    </cx:data>
  </cx:chartData>
  <cx:chart>
    <cx:title pos="t" align="ctr" overlay="0">
      <cx:tx>
        <cx:txData>
          <cx:v>Job 7.7</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Job 7.7</a:t>
          </a:r>
        </a:p>
      </cx:txPr>
    </cx:title>
    <cx:plotArea>
      <cx:plotAreaRegion>
        <cx:series layoutId="clusteredColumn" uniqueId="{648552A7-1EB3-414C-8027-AFEF83739200}">
          <cx:dataId val="0"/>
          <cx:layoutPr>
            <cx:aggregation/>
          </cx:layoutPr>
          <cx:axisId val="1"/>
        </cx:series>
        <cx:series layoutId="paretoLine" ownerIdx="0" uniqueId="{002C754E-196A-4E95-B9BD-6BA792AB6439}">
          <cx:axisId val="2"/>
        </cx:series>
      </cx:plotAreaRegion>
      <cx:axis id="0">
        <cx:catScaling gapWidth="0"/>
        <cx:tickLabels/>
      </cx:axis>
      <cx:axis id="1">
        <cx:valScaling/>
        <cx:majorGridlines/>
        <cx:tickLabels/>
      </cx:axis>
      <cx:axis id="2">
        <cx:valScaling max="1" min="0"/>
        <cx:units unit="percentage"/>
        <cx:tickLabels/>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_xlchart.v1.45</cx:f>
      </cx:strDim>
      <cx:numDim type="val">
        <cx:f>_xlchart.v1.46</cx:f>
      </cx:numDim>
    </cx:data>
  </cx:chartData>
  <cx:chart>
    <cx:title pos="t" align="ctr" overlay="0">
      <cx:tx>
        <cx:txData>
          <cx:v>Job 7.8</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Job 7.8</a:t>
          </a:r>
        </a:p>
      </cx:txPr>
    </cx:title>
    <cx:plotArea>
      <cx:plotAreaRegion>
        <cx:series layoutId="clusteredColumn" uniqueId="{0327EE6E-99D2-45E1-B2CA-0764E6CF8F7F}">
          <cx:dataId val="0"/>
          <cx:layoutPr>
            <cx:aggregation/>
          </cx:layoutPr>
          <cx:axisId val="1"/>
        </cx:series>
        <cx:series layoutId="paretoLine" ownerIdx="0" uniqueId="{56951E8E-040C-4ACC-9F0E-7118C7039FB5}">
          <cx:axisId val="2"/>
        </cx:series>
      </cx:plotAreaRegion>
      <cx:axis id="0">
        <cx:catScaling gapWidth="0"/>
        <cx:tickLabels/>
      </cx:axis>
      <cx:axis id="1">
        <cx:valScaling/>
        <cx:majorGridlines/>
        <cx:tickLabels/>
      </cx:axis>
      <cx:axis id="2">
        <cx:valScaling max="1" min="0"/>
        <cx:units unit="percentage"/>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7">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alpha val="25000"/>
          </a:schemeClr>
        </a:solidFill>
        <a:round/>
      </a:ln>
    </cs:spPr>
    <cs:defRPr sz="900" b="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8575" cap="rnd">
        <a:solidFill>
          <a:schemeClr val="lt1">
            <a:alpha val="50000"/>
          </a:schemeClr>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cap="flat" cmpd="sng" algn="ctr">
        <a:gradFill>
          <a:gsLst>
            <a:gs pos="79000">
              <a:schemeClr val="phClr"/>
            </a:gs>
            <a:gs pos="0">
              <a:schemeClr val="lt1">
                <a:alpha val="6000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47">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alpha val="25000"/>
          </a:schemeClr>
        </a:solidFill>
        <a:round/>
      </a:ln>
    </cs:spPr>
    <cs:defRPr sz="900" b="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8575" cap="rnd">
        <a:solidFill>
          <a:schemeClr val="lt1">
            <a:alpha val="50000"/>
          </a:schemeClr>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cap="flat" cmpd="sng" algn="ctr">
        <a:gradFill>
          <a:gsLst>
            <a:gs pos="79000">
              <a:schemeClr val="phClr"/>
            </a:gs>
            <a:gs pos="0">
              <a:schemeClr val="lt1">
                <a:alpha val="6000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47">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alpha val="25000"/>
          </a:schemeClr>
        </a:solidFill>
        <a:round/>
      </a:ln>
    </cs:spPr>
    <cs:defRPr sz="900" b="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8575" cap="rnd">
        <a:solidFill>
          <a:schemeClr val="lt1">
            <a:alpha val="50000"/>
          </a:schemeClr>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cap="flat" cmpd="sng" algn="ctr">
        <a:gradFill>
          <a:gsLst>
            <a:gs pos="79000">
              <a:schemeClr val="phClr"/>
            </a:gs>
            <a:gs pos="0">
              <a:schemeClr val="lt1">
                <a:alpha val="6000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71">
  <cs:axisTitle>
    <cs:lnRef idx="0"/>
    <cs:fillRef idx="0"/>
    <cs:effectRef idx="0"/>
    <cs:fontRef idx="minor">
      <a:schemeClr val="lt1"/>
    </cs:fontRef>
    <cs:defRPr sz="9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cs:bodyPr/>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cs:chartArea>
  <cs:dataLabel>
    <cs:lnRef idx="0"/>
    <cs:fillRef idx="0">
      <cs:styleClr val="auto"/>
    </cs:fillRef>
    <cs:effectRef idx="0"/>
    <cs:fontRef idx="minor">
      <a:schemeClr val="dk1"/>
    </cs:fontRef>
    <cs:spPr>
      <a:solidFill>
        <a:schemeClr val="phClr">
          <a:alpha val="70000"/>
        </a:schemeClr>
      </a:solidFill>
    </cs:spPr>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a:ln w="9525">
        <a:solidFill>
          <a:schemeClr val="tx1"/>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dk1"/>
    </cs:fontRef>
    <cs:spPr>
      <a:ln w="2857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cs:dataTable>
  <cs:downBar>
    <cs:lnRef idx="0"/>
    <cs:fillRef idx="0"/>
    <cs:effectRef idx="0"/>
    <cs:fontRef idx="minor">
      <a:schemeClr val="dk1"/>
    </cs:fontRef>
    <cs:spPr>
      <a:solidFill>
        <a:schemeClr val="dk1"/>
      </a:solidFill>
    </cs:spPr>
  </cs:downBar>
  <cs:dropLine>
    <cs:lnRef idx="0"/>
    <cs:fillRef idx="0"/>
    <cs:effectRef idx="0"/>
    <cs:fontRef idx="minor">
      <a:schemeClr val="tx1"/>
    </cs:fontRef>
    <cs:spPr>
      <a:ln w="9525">
        <a:solidFill>
          <a:schemeClr val="lt1"/>
        </a:solidFill>
        <a:prstDash val="dash"/>
      </a:ln>
    </cs:spPr>
  </cs:dropLine>
  <cs:errorBar>
    <cs:lnRef idx="0"/>
    <cs:fillRef idx="0"/>
    <cs:effectRef idx="0"/>
    <cs:fontRef idx="minor">
      <a:schemeClr val="tx1"/>
    </cs:fontRef>
    <cs:spPr>
      <a:ln w="9525" cap="flat" cmpd="sng" algn="ctr">
        <a:solidFill>
          <a:schemeClr val="lt1"/>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lt1">
            <a:alpha val="25000"/>
          </a:schemeClr>
        </a:solidFill>
        <a:round/>
      </a:ln>
    </cs:spPr>
  </cs:gridlineMajor>
  <cs:gridlineMinor>
    <cs:lnRef idx="0"/>
    <cs:fillRef idx="0"/>
    <cs:effectRef idx="0"/>
    <cs:fontRef idx="minor">
      <a:schemeClr val="dk1"/>
    </cs:fontRef>
    <cs:spPr>
      <a:ln>
        <a:solidFill>
          <a:schemeClr val="lt1">
            <a:alpha val="25000"/>
            <a:lumOff val="10000"/>
          </a:schemeClr>
        </a:solidFill>
      </a:ln>
    </cs:spPr>
  </cs:gridlineMinor>
  <cs:hiLoLine>
    <cs:lnRef idx="0"/>
    <cs:fillRef idx="0"/>
    <cs:effectRef idx="0"/>
    <cs:fontRef idx="minor">
      <a:schemeClr val="tx1"/>
    </cs:fontRef>
    <cs:spPr>
      <a:ln w="9525">
        <a:solidFill>
          <a:schemeClr val="lt1"/>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cs:fontRef>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cs:bodyPr/>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cs:fontRef>
    <cs:defRPr sz="1500" b="1" cap="all" spc="100"/>
    <cs:bodyPr/>
  </cs:title>
  <cs:trendline>
    <cs:lnRef idx="0"/>
    <cs:fillRef idx="0"/>
    <cs:effectRef idx="0"/>
    <cs:fontRef idx="minor">
      <a:schemeClr val="dk1"/>
    </cs:fontRef>
    <cs:spPr>
      <a:ln w="19050" cap="rnd">
        <a:solidFill>
          <a:schemeClr val="lt1"/>
        </a:solidFill>
        <a:prstDash val="sysDash"/>
      </a:ln>
    </cs:spPr>
  </cs:trendline>
  <cs:trendlineLabel>
    <cs:lnRef idx="0"/>
    <cs:fillRef idx="0"/>
    <cs:effectRef idx="0"/>
    <cs:fontRef idx="minor">
      <a:schemeClr val="lt1"/>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lt1"/>
    </cs:fontRef>
    <cs:defRPr sz="900"/>
    <cs:bodyPr/>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71">
  <cs:axisTitle>
    <cs:lnRef idx="0"/>
    <cs:fillRef idx="0"/>
    <cs:effectRef idx="0"/>
    <cs:fontRef idx="minor">
      <a:schemeClr val="lt1"/>
    </cs:fontRef>
    <cs:defRPr sz="9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cs:bodyPr/>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cs:chartArea>
  <cs:dataLabel>
    <cs:lnRef idx="0"/>
    <cs:fillRef idx="0">
      <cs:styleClr val="auto"/>
    </cs:fillRef>
    <cs:effectRef idx="0"/>
    <cs:fontRef idx="minor">
      <a:schemeClr val="dk1"/>
    </cs:fontRef>
    <cs:spPr>
      <a:solidFill>
        <a:schemeClr val="phClr">
          <a:alpha val="70000"/>
        </a:schemeClr>
      </a:solidFill>
    </cs:spPr>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a:ln w="9525">
        <a:solidFill>
          <a:schemeClr val="tx1"/>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dk1"/>
    </cs:fontRef>
    <cs:spPr>
      <a:ln w="2857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cs:dataTable>
  <cs:downBar>
    <cs:lnRef idx="0"/>
    <cs:fillRef idx="0"/>
    <cs:effectRef idx="0"/>
    <cs:fontRef idx="minor">
      <a:schemeClr val="dk1"/>
    </cs:fontRef>
    <cs:spPr>
      <a:solidFill>
        <a:schemeClr val="dk1"/>
      </a:solidFill>
    </cs:spPr>
  </cs:downBar>
  <cs:dropLine>
    <cs:lnRef idx="0"/>
    <cs:fillRef idx="0"/>
    <cs:effectRef idx="0"/>
    <cs:fontRef idx="minor">
      <a:schemeClr val="tx1"/>
    </cs:fontRef>
    <cs:spPr>
      <a:ln w="9525">
        <a:solidFill>
          <a:schemeClr val="lt1"/>
        </a:solidFill>
        <a:prstDash val="dash"/>
      </a:ln>
    </cs:spPr>
  </cs:dropLine>
  <cs:errorBar>
    <cs:lnRef idx="0"/>
    <cs:fillRef idx="0"/>
    <cs:effectRef idx="0"/>
    <cs:fontRef idx="minor">
      <a:schemeClr val="tx1"/>
    </cs:fontRef>
    <cs:spPr>
      <a:ln w="9525" cap="flat" cmpd="sng" algn="ctr">
        <a:solidFill>
          <a:schemeClr val="lt1"/>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lt1">
            <a:alpha val="25000"/>
          </a:schemeClr>
        </a:solidFill>
        <a:round/>
      </a:ln>
    </cs:spPr>
  </cs:gridlineMajor>
  <cs:gridlineMinor>
    <cs:lnRef idx="0"/>
    <cs:fillRef idx="0"/>
    <cs:effectRef idx="0"/>
    <cs:fontRef idx="minor">
      <a:schemeClr val="dk1"/>
    </cs:fontRef>
    <cs:spPr>
      <a:ln>
        <a:solidFill>
          <a:schemeClr val="lt1">
            <a:alpha val="25000"/>
            <a:lumOff val="10000"/>
          </a:schemeClr>
        </a:solidFill>
      </a:ln>
    </cs:spPr>
  </cs:gridlineMinor>
  <cs:hiLoLine>
    <cs:lnRef idx="0"/>
    <cs:fillRef idx="0"/>
    <cs:effectRef idx="0"/>
    <cs:fontRef idx="minor">
      <a:schemeClr val="tx1"/>
    </cs:fontRef>
    <cs:spPr>
      <a:ln w="9525">
        <a:solidFill>
          <a:schemeClr val="lt1"/>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cs:fontRef>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cs:bodyPr/>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cs:fontRef>
    <cs:defRPr sz="1500" b="1" cap="all" spc="100"/>
    <cs:bodyPr/>
  </cs:title>
  <cs:trendline>
    <cs:lnRef idx="0"/>
    <cs:fillRef idx="0"/>
    <cs:effectRef idx="0"/>
    <cs:fontRef idx="minor">
      <a:schemeClr val="dk1"/>
    </cs:fontRef>
    <cs:spPr>
      <a:ln w="19050" cap="rnd">
        <a:solidFill>
          <a:schemeClr val="lt1"/>
        </a:solidFill>
        <a:prstDash val="sysDash"/>
      </a:ln>
    </cs:spPr>
  </cs:trendline>
  <cs:trendlineLabel>
    <cs:lnRef idx="0"/>
    <cs:fillRef idx="0"/>
    <cs:effectRef idx="0"/>
    <cs:fontRef idx="minor">
      <a:schemeClr val="lt1"/>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lt1"/>
    </cs:fontRef>
    <cs:defRPr sz="900"/>
    <cs:bodyPr/>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0.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microsoft.com/office/2014/relationships/chartEx" Target="../charts/chartEx2.xml"/><Relationship Id="rId1" Type="http://schemas.microsoft.com/office/2014/relationships/chartEx" Target="../charts/chartEx1.xml"/></Relationships>
</file>

<file path=xl/drawings/_rels/drawing4.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2" Type="http://schemas.microsoft.com/office/2014/relationships/chartEx" Target="../charts/chartEx4.xml"/><Relationship Id="rId1" Type="http://schemas.microsoft.com/office/2014/relationships/chartEx" Target="../charts/chartEx3.xml"/></Relationships>
</file>

<file path=xl/drawings/drawing1.xml><?xml version="1.0" encoding="utf-8"?>
<xdr:wsDr xmlns:xdr="http://schemas.openxmlformats.org/drawingml/2006/spreadsheetDrawing" xmlns:a="http://schemas.openxmlformats.org/drawingml/2006/main">
  <xdr:twoCellAnchor>
    <xdr:from>
      <xdr:col>8</xdr:col>
      <xdr:colOff>0</xdr:colOff>
      <xdr:row>11</xdr:row>
      <xdr:rowOff>152400</xdr:rowOff>
    </xdr:from>
    <xdr:to>
      <xdr:col>17</xdr:col>
      <xdr:colOff>0</xdr:colOff>
      <xdr:row>25</xdr:row>
      <xdr:rowOff>9525</xdr:rowOff>
    </xdr:to>
    <xdr:graphicFrame macro="">
      <xdr:nvGraphicFramePr>
        <xdr:cNvPr id="3" name="Chart 2">
          <a:extLst>
            <a:ext uri="{FF2B5EF4-FFF2-40B4-BE49-F238E27FC236}">
              <a16:creationId xmlns:a16="http://schemas.microsoft.com/office/drawing/2014/main" id="{CD3D9BBE-0657-8685-763B-1F63950C9A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28575</xdr:colOff>
      <xdr:row>26</xdr:row>
      <xdr:rowOff>0</xdr:rowOff>
    </xdr:from>
    <xdr:to>
      <xdr:col>17</xdr:col>
      <xdr:colOff>9525</xdr:colOff>
      <xdr:row>45</xdr:row>
      <xdr:rowOff>47625</xdr:rowOff>
    </xdr:to>
    <xdr:sp macro="" textlink="">
      <xdr:nvSpPr>
        <xdr:cNvPr id="5" name="TextBox 4">
          <a:extLst>
            <a:ext uri="{FF2B5EF4-FFF2-40B4-BE49-F238E27FC236}">
              <a16:creationId xmlns:a16="http://schemas.microsoft.com/office/drawing/2014/main" id="{AE4525D1-D985-B177-4FE6-CE4A5AEF7E14}"/>
            </a:ext>
          </a:extLst>
        </xdr:cNvPr>
        <xdr:cNvSpPr txBox="1"/>
      </xdr:nvSpPr>
      <xdr:spPr>
        <a:xfrm>
          <a:off x="3009900" y="4638675"/>
          <a:ext cx="7943850" cy="3124200"/>
        </a:xfrm>
        <a:prstGeom prst="rect">
          <a:avLst/>
        </a:prstGeom>
        <a:solidFill>
          <a:schemeClr val="accent1">
            <a:lumMod val="20000"/>
            <a:lumOff val="80000"/>
          </a:schemeClr>
        </a:solidFill>
        <a:ln w="19050"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latin typeface="Arial" panose="020B0604020202020204" pitchFamily="34" charset="0"/>
              <a:cs typeface="Arial" panose="020B0604020202020204" pitchFamily="34" charset="0"/>
            </a:rPr>
            <a:t>EXPLANATION:</a:t>
          </a:r>
          <a:br>
            <a:rPr lang="en-US" sz="1000">
              <a:latin typeface="Arial" panose="020B0604020202020204" pitchFamily="34" charset="0"/>
              <a:cs typeface="Arial" panose="020B0604020202020204" pitchFamily="34" charset="0"/>
            </a:rPr>
          </a:br>
          <a:br>
            <a:rPr lang="en-US" sz="1000">
              <a:latin typeface="Arial" panose="020B0604020202020204" pitchFamily="34" charset="0"/>
              <a:cs typeface="Arial" panose="020B0604020202020204" pitchFamily="34" charset="0"/>
            </a:rPr>
          </a:br>
          <a:r>
            <a:rPr lang="en-US" sz="1000">
              <a:latin typeface="Arial" panose="020B0604020202020204" pitchFamily="34" charset="0"/>
              <a:cs typeface="Arial" panose="020B0604020202020204" pitchFamily="34" charset="0"/>
            </a:rPr>
            <a:t>The data shows a clear seasonal pattern in Washington D.C.'s average monthly temperatures between 1990 and 2001. Temperatures follow a predictable bell curve throughout the year, with the coldest month being January, then steadily rising through spring. Summer months peak with July where temperatures then decline through fall. </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9525</xdr:colOff>
      <xdr:row>12</xdr:row>
      <xdr:rowOff>14287</xdr:rowOff>
    </xdr:from>
    <xdr:to>
      <xdr:col>12</xdr:col>
      <xdr:colOff>323850</xdr:colOff>
      <xdr:row>24</xdr:row>
      <xdr:rowOff>152400</xdr:rowOff>
    </xdr:to>
    <xdr:graphicFrame macro="">
      <xdr:nvGraphicFramePr>
        <xdr:cNvPr id="2" name="Chart 1">
          <a:extLst>
            <a:ext uri="{FF2B5EF4-FFF2-40B4-BE49-F238E27FC236}">
              <a16:creationId xmlns:a16="http://schemas.microsoft.com/office/drawing/2014/main" id="{45ADE12B-2F91-9FA7-1CB9-690F681651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323850</xdr:colOff>
      <xdr:row>12</xdr:row>
      <xdr:rowOff>9525</xdr:rowOff>
    </xdr:from>
    <xdr:to>
      <xdr:col>17</xdr:col>
      <xdr:colOff>9525</xdr:colOff>
      <xdr:row>24</xdr:row>
      <xdr:rowOff>152400</xdr:rowOff>
    </xdr:to>
    <xdr:graphicFrame macro="">
      <xdr:nvGraphicFramePr>
        <xdr:cNvPr id="4" name="Chart 3">
          <a:extLst>
            <a:ext uri="{FF2B5EF4-FFF2-40B4-BE49-F238E27FC236}">
              <a16:creationId xmlns:a16="http://schemas.microsoft.com/office/drawing/2014/main" id="{2A79477E-B096-46C5-B792-38409CCA24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19050</xdr:colOff>
      <xdr:row>26</xdr:row>
      <xdr:rowOff>19050</xdr:rowOff>
    </xdr:from>
    <xdr:to>
      <xdr:col>17</xdr:col>
      <xdr:colOff>0</xdr:colOff>
      <xdr:row>45</xdr:row>
      <xdr:rowOff>66675</xdr:rowOff>
    </xdr:to>
    <xdr:sp macro="" textlink="">
      <xdr:nvSpPr>
        <xdr:cNvPr id="5" name="TextBox 4">
          <a:extLst>
            <a:ext uri="{FF2B5EF4-FFF2-40B4-BE49-F238E27FC236}">
              <a16:creationId xmlns:a16="http://schemas.microsoft.com/office/drawing/2014/main" id="{90BB99EE-EF8A-40EE-B396-BA8D0F2C35B9}"/>
            </a:ext>
          </a:extLst>
        </xdr:cNvPr>
        <xdr:cNvSpPr txBox="1"/>
      </xdr:nvSpPr>
      <xdr:spPr>
        <a:xfrm>
          <a:off x="3000375" y="4657725"/>
          <a:ext cx="7943850" cy="3124200"/>
        </a:xfrm>
        <a:prstGeom prst="rect">
          <a:avLst/>
        </a:prstGeom>
        <a:solidFill>
          <a:schemeClr val="accent1">
            <a:lumMod val="20000"/>
            <a:lumOff val="80000"/>
          </a:schemeClr>
        </a:solidFill>
        <a:ln w="19050"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latin typeface="Arial" panose="020B0604020202020204" pitchFamily="34" charset="0"/>
              <a:cs typeface="Arial" panose="020B0604020202020204" pitchFamily="34" charset="0"/>
            </a:rPr>
            <a:t>EXPLANATION:</a:t>
          </a:r>
          <a:br>
            <a:rPr lang="en-US" sz="1000">
              <a:latin typeface="Arial" panose="020B0604020202020204" pitchFamily="34" charset="0"/>
              <a:cs typeface="Arial" panose="020B0604020202020204" pitchFamily="34" charset="0"/>
            </a:rPr>
          </a:br>
          <a:br>
            <a:rPr lang="en-US" sz="1000">
              <a:latin typeface="Arial" panose="020B0604020202020204" pitchFamily="34" charset="0"/>
              <a:cs typeface="Arial" panose="020B0604020202020204" pitchFamily="34" charset="0"/>
            </a:rPr>
          </a:br>
          <a:r>
            <a:rPr lang="en-US" sz="1000">
              <a:latin typeface="Arial" panose="020B0604020202020204" pitchFamily="34" charset="0"/>
              <a:cs typeface="Arial" panose="020B0604020202020204" pitchFamily="34" charset="0"/>
            </a:rPr>
            <a:t>The yearly average temperatures in Washington D.C. remained relatively stable between 1990 and 2001, ranging from approximately 53.1°F (1996) to 57.1°F (1998). There is no strong upward or downward trend over this 12-year period</a:t>
          </a:r>
          <a:r>
            <a:rPr lang="en-US" sz="1000" baseline="0">
              <a:latin typeface="Arial" panose="020B0604020202020204" pitchFamily="34" charset="0"/>
              <a:cs typeface="Arial" panose="020B0604020202020204" pitchFamily="34" charset="0"/>
            </a:rPr>
            <a:t> as </a:t>
          </a:r>
          <a:r>
            <a:rPr lang="en-US" sz="1000">
              <a:latin typeface="Arial" panose="020B0604020202020204" pitchFamily="34" charset="0"/>
              <a:cs typeface="Arial" panose="020B0604020202020204" pitchFamily="34" charset="0"/>
            </a:rPr>
            <a:t>the data fluctuates within a narrow band of about 4 degrees. The year 1990 started at 57.0°F, dipped in the mid-1990s, peaked again in 1998, and settled around 54.9°F in 2001. This suggests year-to-year climate variability rather than a significant warming or cooling trend during this period.</a:t>
          </a:r>
        </a:p>
      </xdr:txBody>
    </xdr:sp>
    <xdr:clientData/>
  </xdr:twoCellAnchor>
  <xdr:twoCellAnchor>
    <xdr:from>
      <xdr:col>3</xdr:col>
      <xdr:colOff>628650</xdr:colOff>
      <xdr:row>5</xdr:row>
      <xdr:rowOff>161925</xdr:rowOff>
    </xdr:from>
    <xdr:to>
      <xdr:col>10</xdr:col>
      <xdr:colOff>166687</xdr:colOff>
      <xdr:row>12</xdr:row>
      <xdr:rowOff>14287</xdr:rowOff>
    </xdr:to>
    <xdr:cxnSp macro="">
      <xdr:nvCxnSpPr>
        <xdr:cNvPr id="7" name="Straight Arrow Connector 6">
          <a:extLst>
            <a:ext uri="{FF2B5EF4-FFF2-40B4-BE49-F238E27FC236}">
              <a16:creationId xmlns:a16="http://schemas.microsoft.com/office/drawing/2014/main" id="{758EC3DB-3321-EA2B-D440-AB7AF70F2C03}"/>
            </a:ext>
          </a:extLst>
        </xdr:cNvPr>
        <xdr:cNvCxnSpPr>
          <a:endCxn id="2" idx="0"/>
        </xdr:cNvCxnSpPr>
      </xdr:nvCxnSpPr>
      <xdr:spPr bwMode="auto">
        <a:xfrm>
          <a:off x="2238375" y="1190625"/>
          <a:ext cx="4605337" cy="1195387"/>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3</xdr:col>
      <xdr:colOff>933450</xdr:colOff>
      <xdr:row>9</xdr:row>
      <xdr:rowOff>142875</xdr:rowOff>
    </xdr:from>
    <xdr:to>
      <xdr:col>14</xdr:col>
      <xdr:colOff>471487</xdr:colOff>
      <xdr:row>12</xdr:row>
      <xdr:rowOff>9525</xdr:rowOff>
    </xdr:to>
    <xdr:cxnSp macro="">
      <xdr:nvCxnSpPr>
        <xdr:cNvPr id="9" name="Straight Arrow Connector 8">
          <a:extLst>
            <a:ext uri="{FF2B5EF4-FFF2-40B4-BE49-F238E27FC236}">
              <a16:creationId xmlns:a16="http://schemas.microsoft.com/office/drawing/2014/main" id="{571CE822-6F44-8C6B-8B30-A2F7E1365BAA}"/>
            </a:ext>
          </a:extLst>
        </xdr:cNvPr>
        <xdr:cNvCxnSpPr>
          <a:endCxn id="4" idx="0"/>
        </xdr:cNvCxnSpPr>
      </xdr:nvCxnSpPr>
      <xdr:spPr bwMode="auto">
        <a:xfrm>
          <a:off x="2543175" y="1962150"/>
          <a:ext cx="7043737" cy="41910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19050</xdr:colOff>
      <xdr:row>27</xdr:row>
      <xdr:rowOff>19050</xdr:rowOff>
    </xdr:from>
    <xdr:to>
      <xdr:col>17</xdr:col>
      <xdr:colOff>0</xdr:colOff>
      <xdr:row>46</xdr:row>
      <xdr:rowOff>66675</xdr:rowOff>
    </xdr:to>
    <xdr:sp macro="" textlink="">
      <xdr:nvSpPr>
        <xdr:cNvPr id="4" name="TextBox 3">
          <a:extLst>
            <a:ext uri="{FF2B5EF4-FFF2-40B4-BE49-F238E27FC236}">
              <a16:creationId xmlns:a16="http://schemas.microsoft.com/office/drawing/2014/main" id="{F197F57B-B19F-4C63-9051-CB2D692FE08A}"/>
            </a:ext>
          </a:extLst>
        </xdr:cNvPr>
        <xdr:cNvSpPr txBox="1"/>
      </xdr:nvSpPr>
      <xdr:spPr>
        <a:xfrm>
          <a:off x="3000375" y="4657725"/>
          <a:ext cx="7943850" cy="3124200"/>
        </a:xfrm>
        <a:prstGeom prst="rect">
          <a:avLst/>
        </a:prstGeom>
        <a:solidFill>
          <a:schemeClr val="accent1">
            <a:lumMod val="20000"/>
            <a:lumOff val="80000"/>
          </a:schemeClr>
        </a:solidFill>
        <a:ln w="19050"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latin typeface="Arial" panose="020B0604020202020204" pitchFamily="34" charset="0"/>
              <a:cs typeface="Arial" panose="020B0604020202020204" pitchFamily="34" charset="0"/>
            </a:rPr>
            <a:t>EXPLANATION:</a:t>
          </a:r>
          <a:br>
            <a:rPr lang="en-US" sz="1000">
              <a:latin typeface="Arial" panose="020B0604020202020204" pitchFamily="34" charset="0"/>
              <a:cs typeface="Arial" panose="020B0604020202020204" pitchFamily="34" charset="0"/>
            </a:rPr>
          </a:br>
          <a:br>
            <a:rPr lang="en-US" sz="1000">
              <a:latin typeface="Arial" panose="020B0604020202020204" pitchFamily="34" charset="0"/>
              <a:cs typeface="Arial" panose="020B0604020202020204" pitchFamily="34" charset="0"/>
            </a:rPr>
          </a:br>
          <a:r>
            <a:rPr lang="en-US" sz="1000">
              <a:latin typeface="Arial" panose="020B0604020202020204" pitchFamily="34" charset="0"/>
              <a:cs typeface="Arial" panose="020B0604020202020204" pitchFamily="34" charset="0"/>
            </a:rPr>
            <a:t>A histogram displays the frequency distribution of data by grouping values into "bins" and showing how many observations fall into each range. This histogram of Washington D.C. temperatures shows that most monthly readings cluster in the middle temperature ranges (roughly 50-70°F), with fewer observations at the extreme cold (below 35°F) and extreme hot (above 75°F) ends. The distribution appears roughly normal with a slight right skew, indicating that moderate temperatures are most common throughout the year, while very cold winter months and very hot summer months occur less frequently.</a:t>
          </a:r>
        </a:p>
      </xdr:txBody>
    </xdr:sp>
    <xdr:clientData/>
  </xdr:twoCellAnchor>
  <xdr:twoCellAnchor>
    <xdr:from>
      <xdr:col>5</xdr:col>
      <xdr:colOff>0</xdr:colOff>
      <xdr:row>13</xdr:row>
      <xdr:rowOff>14287</xdr:rowOff>
    </xdr:from>
    <xdr:to>
      <xdr:col>17</xdr:col>
      <xdr:colOff>0</xdr:colOff>
      <xdr:row>19</xdr:row>
      <xdr:rowOff>95250</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A3912320-CBE5-9DF6-0E0E-22E0284101A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981325" y="2576512"/>
              <a:ext cx="7962900" cy="105251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0</xdr:colOff>
      <xdr:row>19</xdr:row>
      <xdr:rowOff>95251</xdr:rowOff>
    </xdr:from>
    <xdr:to>
      <xdr:col>17</xdr:col>
      <xdr:colOff>0</xdr:colOff>
      <xdr:row>26</xdr:row>
      <xdr:rowOff>0</xdr:rowOff>
    </xdr:to>
    <mc:AlternateContent xmlns:mc="http://schemas.openxmlformats.org/markup-compatibility/2006">
      <mc:Choice xmlns:cx1="http://schemas.microsoft.com/office/drawing/2015/9/8/chartex" Requires="cx1">
        <xdr:graphicFrame macro="">
          <xdr:nvGraphicFramePr>
            <xdr:cNvPr id="6" name="Chart 5">
              <a:extLst>
                <a:ext uri="{FF2B5EF4-FFF2-40B4-BE49-F238E27FC236}">
                  <a16:creationId xmlns:a16="http://schemas.microsoft.com/office/drawing/2014/main" id="{AC1BED88-5E18-4AA2-81B2-CA16B926692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2981325" y="3629026"/>
              <a:ext cx="7962900" cy="103822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457200</xdr:colOff>
      <xdr:row>3</xdr:row>
      <xdr:rowOff>123825</xdr:rowOff>
    </xdr:from>
    <xdr:to>
      <xdr:col>10</xdr:col>
      <xdr:colOff>285750</xdr:colOff>
      <xdr:row>13</xdr:row>
      <xdr:rowOff>14287</xdr:rowOff>
    </xdr:to>
    <xdr:cxnSp macro="">
      <xdr:nvCxnSpPr>
        <xdr:cNvPr id="8" name="Straight Arrow Connector 7">
          <a:extLst>
            <a:ext uri="{FF2B5EF4-FFF2-40B4-BE49-F238E27FC236}">
              <a16:creationId xmlns:a16="http://schemas.microsoft.com/office/drawing/2014/main" id="{D39E7374-5D0B-588C-ACB7-53F6B2E08A33}"/>
            </a:ext>
          </a:extLst>
        </xdr:cNvPr>
        <xdr:cNvCxnSpPr>
          <a:endCxn id="5" idx="0"/>
        </xdr:cNvCxnSpPr>
      </xdr:nvCxnSpPr>
      <xdr:spPr bwMode="auto">
        <a:xfrm>
          <a:off x="4181475" y="771525"/>
          <a:ext cx="2781300" cy="1804987"/>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10</xdr:col>
      <xdr:colOff>285750</xdr:colOff>
      <xdr:row>10</xdr:row>
      <xdr:rowOff>161925</xdr:rowOff>
    </xdr:from>
    <xdr:to>
      <xdr:col>10</xdr:col>
      <xdr:colOff>428625</xdr:colOff>
      <xdr:row>19</xdr:row>
      <xdr:rowOff>95251</xdr:rowOff>
    </xdr:to>
    <xdr:cxnSp macro="">
      <xdr:nvCxnSpPr>
        <xdr:cNvPr id="10" name="Straight Arrow Connector 9">
          <a:extLst>
            <a:ext uri="{FF2B5EF4-FFF2-40B4-BE49-F238E27FC236}">
              <a16:creationId xmlns:a16="http://schemas.microsoft.com/office/drawing/2014/main" id="{71637B7D-A1DB-76CE-D0B8-FC58B2262A74}"/>
            </a:ext>
          </a:extLst>
        </xdr:cNvPr>
        <xdr:cNvCxnSpPr>
          <a:endCxn id="6" idx="0"/>
        </xdr:cNvCxnSpPr>
      </xdr:nvCxnSpPr>
      <xdr:spPr bwMode="auto">
        <a:xfrm flipH="1">
          <a:off x="6962775" y="2171700"/>
          <a:ext cx="142875" cy="1457326"/>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19050</xdr:colOff>
      <xdr:row>45</xdr:row>
      <xdr:rowOff>19050</xdr:rowOff>
    </xdr:from>
    <xdr:to>
      <xdr:col>19</xdr:col>
      <xdr:colOff>0</xdr:colOff>
      <xdr:row>65</xdr:row>
      <xdr:rowOff>28575</xdr:rowOff>
    </xdr:to>
    <xdr:sp macro="" textlink="">
      <xdr:nvSpPr>
        <xdr:cNvPr id="3" name="TextBox 2">
          <a:extLst>
            <a:ext uri="{FF2B5EF4-FFF2-40B4-BE49-F238E27FC236}">
              <a16:creationId xmlns:a16="http://schemas.microsoft.com/office/drawing/2014/main" id="{E9C887F6-CFC7-43E5-B2B1-20D52BAE5FAE}"/>
            </a:ext>
          </a:extLst>
        </xdr:cNvPr>
        <xdr:cNvSpPr txBox="1"/>
      </xdr:nvSpPr>
      <xdr:spPr>
        <a:xfrm>
          <a:off x="3000375" y="7762875"/>
          <a:ext cx="7553325" cy="3248025"/>
        </a:xfrm>
        <a:prstGeom prst="rect">
          <a:avLst/>
        </a:prstGeom>
        <a:solidFill>
          <a:schemeClr val="accent1">
            <a:lumMod val="20000"/>
            <a:lumOff val="80000"/>
          </a:schemeClr>
        </a:solidFill>
        <a:ln w="19050"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latin typeface="Arial" panose="020B0604020202020204" pitchFamily="34" charset="0"/>
              <a:cs typeface="Arial" panose="020B0604020202020204" pitchFamily="34" charset="0"/>
            </a:rPr>
            <a:t>EXPLANATION:</a:t>
          </a:r>
          <a:br>
            <a:rPr lang="en-US" sz="1000">
              <a:latin typeface="Arial" panose="020B0604020202020204" pitchFamily="34" charset="0"/>
              <a:cs typeface="Arial" panose="020B0604020202020204" pitchFamily="34" charset="0"/>
            </a:rPr>
          </a:br>
          <a:br>
            <a:rPr lang="en-US" sz="1000">
              <a:latin typeface="Arial" panose="020B0604020202020204" pitchFamily="34" charset="0"/>
              <a:cs typeface="Arial" panose="020B0604020202020204" pitchFamily="34" charset="0"/>
            </a:rPr>
          </a:br>
          <a:r>
            <a:rPr lang="en-US" sz="1000">
              <a:latin typeface="Arial" panose="020B0604020202020204" pitchFamily="34" charset="0"/>
              <a:cs typeface="Arial" panose="020B0604020202020204" pitchFamily="34" charset="0"/>
            </a:rPr>
            <a:t>The pivot table consolidates the temperature data into a matrix showing averages by both month (rows) and year (columns). This allows for easy comparison across two dimensions simultaneously. The Grand Total column on the right confirms the monthly averages from Job 7.1, while the Grand Total row at the bottom confirms the yearly averages from Job 7.2. The pivot chart visually reinforces that July consistently has the highest temperatures across all years, while January consistently has the lowest. This combined view demonstrates how the seasonal pattern (Job 7.1) holds steady across years (Job 7.2).</a:t>
          </a:r>
        </a:p>
      </xdr:txBody>
    </xdr:sp>
    <xdr:clientData/>
  </xdr:twoCellAnchor>
  <xdr:twoCellAnchor>
    <xdr:from>
      <xdr:col>5</xdr:col>
      <xdr:colOff>66675</xdr:colOff>
      <xdr:row>5</xdr:row>
      <xdr:rowOff>0</xdr:rowOff>
    </xdr:from>
    <xdr:to>
      <xdr:col>5</xdr:col>
      <xdr:colOff>390525</xdr:colOff>
      <xdr:row>13</xdr:row>
      <xdr:rowOff>0</xdr:rowOff>
    </xdr:to>
    <xdr:cxnSp macro="">
      <xdr:nvCxnSpPr>
        <xdr:cNvPr id="5" name="Straight Arrow Connector 4">
          <a:extLst>
            <a:ext uri="{FF2B5EF4-FFF2-40B4-BE49-F238E27FC236}">
              <a16:creationId xmlns:a16="http://schemas.microsoft.com/office/drawing/2014/main" id="{3284723A-38D8-8138-2B23-62EC185E7CB8}"/>
            </a:ext>
          </a:extLst>
        </xdr:cNvPr>
        <xdr:cNvCxnSpPr/>
      </xdr:nvCxnSpPr>
      <xdr:spPr bwMode="auto">
        <a:xfrm>
          <a:off x="3048000" y="1028700"/>
          <a:ext cx="323850" cy="1533525"/>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5</xdr:col>
      <xdr:colOff>247650</xdr:colOff>
      <xdr:row>10</xdr:row>
      <xdr:rowOff>161925</xdr:rowOff>
    </xdr:from>
    <xdr:to>
      <xdr:col>18</xdr:col>
      <xdr:colOff>0</xdr:colOff>
      <xdr:row>29</xdr:row>
      <xdr:rowOff>66675</xdr:rowOff>
    </xdr:to>
    <xdr:cxnSp macro="">
      <xdr:nvCxnSpPr>
        <xdr:cNvPr id="7" name="Straight Arrow Connector 6">
          <a:extLst>
            <a:ext uri="{FF2B5EF4-FFF2-40B4-BE49-F238E27FC236}">
              <a16:creationId xmlns:a16="http://schemas.microsoft.com/office/drawing/2014/main" id="{9DA55F8E-53A4-4117-9E67-6418F4000537}"/>
            </a:ext>
          </a:extLst>
        </xdr:cNvPr>
        <xdr:cNvCxnSpPr/>
      </xdr:nvCxnSpPr>
      <xdr:spPr bwMode="auto">
        <a:xfrm flipH="1">
          <a:off x="3228975" y="2171700"/>
          <a:ext cx="6543675" cy="304800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20</xdr:col>
      <xdr:colOff>9525</xdr:colOff>
      <xdr:row>13</xdr:row>
      <xdr:rowOff>14287</xdr:rowOff>
    </xdr:from>
    <xdr:to>
      <xdr:col>27</xdr:col>
      <xdr:colOff>314325</xdr:colOff>
      <xdr:row>28</xdr:row>
      <xdr:rowOff>0</xdr:rowOff>
    </xdr:to>
    <xdr:graphicFrame macro="">
      <xdr:nvGraphicFramePr>
        <xdr:cNvPr id="13" name="Chart 12">
          <a:extLst>
            <a:ext uri="{FF2B5EF4-FFF2-40B4-BE49-F238E27FC236}">
              <a16:creationId xmlns:a16="http://schemas.microsoft.com/office/drawing/2014/main" id="{D91BF183-EB69-40CC-C101-47867F4751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9525</xdr:colOff>
      <xdr:row>29</xdr:row>
      <xdr:rowOff>14287</xdr:rowOff>
    </xdr:from>
    <xdr:to>
      <xdr:col>27</xdr:col>
      <xdr:colOff>314325</xdr:colOff>
      <xdr:row>44</xdr:row>
      <xdr:rowOff>0</xdr:rowOff>
    </xdr:to>
    <xdr:graphicFrame macro="">
      <xdr:nvGraphicFramePr>
        <xdr:cNvPr id="14" name="Chart 13">
          <a:extLst>
            <a:ext uri="{FF2B5EF4-FFF2-40B4-BE49-F238E27FC236}">
              <a16:creationId xmlns:a16="http://schemas.microsoft.com/office/drawing/2014/main" id="{F68A7356-0ED7-5A58-62C8-FD17978CE8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11</xdr:col>
      <xdr:colOff>9525</xdr:colOff>
      <xdr:row>14</xdr:row>
      <xdr:rowOff>157161</xdr:rowOff>
    </xdr:from>
    <xdr:to>
      <xdr:col>15</xdr:col>
      <xdr:colOff>1143000</xdr:colOff>
      <xdr:row>24</xdr:row>
      <xdr:rowOff>161924</xdr:rowOff>
    </xdr:to>
    <xdr:graphicFrame macro="">
      <xdr:nvGraphicFramePr>
        <xdr:cNvPr id="2" name="Chart 1">
          <a:extLst>
            <a:ext uri="{FF2B5EF4-FFF2-40B4-BE49-F238E27FC236}">
              <a16:creationId xmlns:a16="http://schemas.microsoft.com/office/drawing/2014/main" id="{182FEF5D-8BB5-42CA-D18A-FA996404A4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19050</xdr:colOff>
      <xdr:row>36</xdr:row>
      <xdr:rowOff>4762</xdr:rowOff>
    </xdr:from>
    <xdr:to>
      <xdr:col>15</xdr:col>
      <xdr:colOff>1152525</xdr:colOff>
      <xdr:row>46</xdr:row>
      <xdr:rowOff>76200</xdr:rowOff>
    </xdr:to>
    <xdr:graphicFrame macro="">
      <xdr:nvGraphicFramePr>
        <xdr:cNvPr id="3" name="Chart 2">
          <a:extLst>
            <a:ext uri="{FF2B5EF4-FFF2-40B4-BE49-F238E27FC236}">
              <a16:creationId xmlns:a16="http://schemas.microsoft.com/office/drawing/2014/main" id="{4EC8219F-E9A0-01EF-5C58-7638EF0950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0</xdr:colOff>
      <xdr:row>48</xdr:row>
      <xdr:rowOff>28575</xdr:rowOff>
    </xdr:from>
    <xdr:to>
      <xdr:col>14</xdr:col>
      <xdr:colOff>409575</xdr:colOff>
      <xdr:row>68</xdr:row>
      <xdr:rowOff>38100</xdr:rowOff>
    </xdr:to>
    <xdr:sp macro="" textlink="">
      <xdr:nvSpPr>
        <xdr:cNvPr id="4" name="TextBox 3">
          <a:extLst>
            <a:ext uri="{FF2B5EF4-FFF2-40B4-BE49-F238E27FC236}">
              <a16:creationId xmlns:a16="http://schemas.microsoft.com/office/drawing/2014/main" id="{6B774723-68A0-42EA-83C7-B0FC103BC830}"/>
            </a:ext>
          </a:extLst>
        </xdr:cNvPr>
        <xdr:cNvSpPr txBox="1"/>
      </xdr:nvSpPr>
      <xdr:spPr>
        <a:xfrm>
          <a:off x="4829175" y="7972425"/>
          <a:ext cx="6896100" cy="3248025"/>
        </a:xfrm>
        <a:prstGeom prst="rect">
          <a:avLst/>
        </a:prstGeom>
        <a:solidFill>
          <a:schemeClr val="accent1">
            <a:lumMod val="20000"/>
            <a:lumOff val="80000"/>
          </a:schemeClr>
        </a:solidFill>
        <a:ln w="19050"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latin typeface="Arial" panose="020B0604020202020204" pitchFamily="34" charset="0"/>
              <a:cs typeface="Arial" panose="020B0604020202020204" pitchFamily="34" charset="0"/>
            </a:rPr>
            <a:t>EXPLANATION:</a:t>
          </a:r>
          <a:br>
            <a:rPr lang="en-US" sz="1000">
              <a:latin typeface="Arial" panose="020B0604020202020204" pitchFamily="34" charset="0"/>
              <a:cs typeface="Arial" panose="020B0604020202020204" pitchFamily="34" charset="0"/>
            </a:rPr>
          </a:br>
          <a:br>
            <a:rPr lang="en-US" sz="1000">
              <a:latin typeface="Arial" panose="020B0604020202020204" pitchFamily="34" charset="0"/>
              <a:cs typeface="Arial" panose="020B0604020202020204" pitchFamily="34" charset="0"/>
            </a:rPr>
          </a:br>
          <a:r>
            <a:rPr lang="en-US" sz="1000">
              <a:latin typeface="Arial" panose="020B0604020202020204" pitchFamily="34" charset="0"/>
              <a:cs typeface="Arial" panose="020B0604020202020204" pitchFamily="34" charset="0"/>
            </a:rPr>
            <a:t>Comparing the two pivot analyses reveals important insights about regional sales performance. Job 7.5 (Count) shows the West region has the highest volume with 190 total orders, nearly double the other regions. Books outsell DVDs overall (261 vs 211). However, Job 7.6 (Average Amount) shows the East region has the highest average order value for Books ($60.08) while DVD prices are consistent across regions (~$19-20). This means while West sells more units, East generates higher revenue per book order. The South also shows strong book revenue per order ($59.41). This analysis suggests different regional strategies may be appropriate: focus on volume in the West, and premium book sales in the East and South.</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4</xdr:col>
      <xdr:colOff>0</xdr:colOff>
      <xdr:row>15</xdr:row>
      <xdr:rowOff>9525</xdr:rowOff>
    </xdr:from>
    <xdr:to>
      <xdr:col>18</xdr:col>
      <xdr:colOff>600075</xdr:colOff>
      <xdr:row>33</xdr:row>
      <xdr:rowOff>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79EFC208-84B5-DF9B-F194-FE306EEF651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352925" y="2476500"/>
              <a:ext cx="9477375" cy="290512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600075</xdr:colOff>
      <xdr:row>36</xdr:row>
      <xdr:rowOff>9525</xdr:rowOff>
    </xdr:from>
    <xdr:to>
      <xdr:col>18</xdr:col>
      <xdr:colOff>600075</xdr:colOff>
      <xdr:row>55</xdr:row>
      <xdr:rowOff>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030FBE49-AF7B-D1DC-5D41-DEEB3B268EE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4343400" y="5876925"/>
              <a:ext cx="9486900" cy="30670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rrick Jones" refreshedDate="46028.670671064814" createdVersion="8" refreshedVersion="8" minRefreshableVersion="3" recordCount="141" xr:uid="{9C8000CF-7D1A-441C-87F9-9BA4F1BBA278}">
  <cacheSource type="worksheet">
    <worksheetSource name="Table18"/>
  </cacheSource>
  <cacheFields count="3">
    <cacheField name="Month" numFmtId="0">
      <sharedItems count="12">
        <s v="April"/>
        <s v="August"/>
        <s v="December"/>
        <s v="February"/>
        <s v="January"/>
        <s v="July"/>
        <s v="June"/>
        <s v="March"/>
        <s v="May"/>
        <s v="November"/>
        <s v="October"/>
        <s v="September"/>
      </sharedItems>
    </cacheField>
    <cacheField name="Year" numFmtId="0">
      <sharedItems containsSemiMixedTypes="0" containsString="0" containsNumber="1" containsInteger="1" minValue="1990" maxValue="2001" count="12">
        <n v="1990"/>
        <n v="1991"/>
        <n v="1992"/>
        <n v="1993"/>
        <n v="1994"/>
        <n v="1995"/>
        <n v="1996"/>
        <n v="1997"/>
        <n v="1998"/>
        <n v="1999"/>
        <n v="2000"/>
        <n v="2001"/>
      </sharedItems>
    </cacheField>
    <cacheField name="Temperature" numFmtId="0">
      <sharedItems containsSemiMixedTypes="0" containsString="0" containsNumber="1" minValue="26.1" maxValue="79.7"/>
    </cacheField>
  </cacheFields>
  <extLst>
    <ext xmlns:x14="http://schemas.microsoft.com/office/spreadsheetml/2009/9/main" uri="{725AE2AE-9491-48be-B2B4-4EB974FC3084}">
      <x14:pivotCacheDefinition/>
    </ext>
    <ext xmlns:xlpar="http://schemas.microsoft.com/office/spreadsheetml/2024/pivotAutoRefresh" uri="{DA1E1B2C-A1EE-400B-A0BD-712935E3C959}">
      <xlpar:autoRefresh>1</xlpar:autoRefresh>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rrick Jones" refreshedDate="46028.676765625001" createdVersion="8" refreshedVersion="8" minRefreshableVersion="3" recordCount="472" xr:uid="{C2D566A6-F138-4640-9EB5-FC1CE90832F7}">
  <cacheSource type="worksheet">
    <worksheetSource name="Table10"/>
  </cacheSource>
  <cacheFields count="5">
    <cacheField name="Region" numFmtId="0">
      <sharedItems count="4">
        <s v="East"/>
        <s v="West"/>
        <s v="North"/>
        <s v="South"/>
      </sharedItems>
    </cacheField>
    <cacheField name="Payment " numFmtId="0">
      <sharedItems/>
    </cacheField>
    <cacheField name="Source" numFmtId="0">
      <sharedItems/>
    </cacheField>
    <cacheField name="Amount" numFmtId="0">
      <sharedItems containsSemiMixedTypes="0" containsString="0" containsNumber="1" minValue="15.08" maxValue="247.14"/>
    </cacheField>
    <cacheField name="Product" numFmtId="0">
      <sharedItems count="2">
        <s v="Book"/>
        <s v="DVD"/>
      </sharedItems>
    </cacheField>
  </cacheFields>
  <extLst>
    <ext xmlns:x14="http://schemas.microsoft.com/office/spreadsheetml/2009/9/main" uri="{725AE2AE-9491-48be-B2B4-4EB974FC3084}">
      <x14:pivotCacheDefinition/>
    </ext>
    <ext xmlns:xlpar="http://schemas.microsoft.com/office/spreadsheetml/2024/pivotAutoRefresh" uri="{DA1E1B2C-A1EE-400B-A0BD-712935E3C959}">
      <xlpar:autoRefresh>1</xlpar:autoRefresh>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1">
  <r>
    <x v="0"/>
    <x v="0"/>
    <n v="54.3"/>
  </r>
  <r>
    <x v="0"/>
    <x v="1"/>
    <n v="56"/>
  </r>
  <r>
    <x v="0"/>
    <x v="2"/>
    <n v="53.1"/>
  </r>
  <r>
    <x v="0"/>
    <x v="3"/>
    <n v="52.6"/>
  </r>
  <r>
    <x v="0"/>
    <x v="4"/>
    <n v="60.1"/>
  </r>
  <r>
    <x v="0"/>
    <x v="5"/>
    <n v="52.6"/>
  </r>
  <r>
    <x v="0"/>
    <x v="6"/>
    <n v="54.6"/>
  </r>
  <r>
    <x v="0"/>
    <x v="7"/>
    <n v="50.3"/>
  </r>
  <r>
    <x v="0"/>
    <x v="8"/>
    <n v="54.9"/>
  </r>
  <r>
    <x v="0"/>
    <x v="9"/>
    <n v="53"/>
  </r>
  <r>
    <x v="0"/>
    <x v="10"/>
    <n v="53.6"/>
  </r>
  <r>
    <x v="0"/>
    <x v="11"/>
    <n v="55.5"/>
  </r>
  <r>
    <x v="1"/>
    <x v="0"/>
    <n v="73.8"/>
  </r>
  <r>
    <x v="1"/>
    <x v="1"/>
    <n v="77"/>
  </r>
  <r>
    <x v="1"/>
    <x v="2"/>
    <n v="70.400000000000006"/>
  </r>
  <r>
    <x v="1"/>
    <x v="3"/>
    <n v="78"/>
  </r>
  <r>
    <x v="1"/>
    <x v="4"/>
    <n v="73.8"/>
  </r>
  <r>
    <x v="1"/>
    <x v="5"/>
    <n v="77.599999999999994"/>
  </r>
  <r>
    <x v="1"/>
    <x v="6"/>
    <n v="72.7"/>
  </r>
  <r>
    <x v="1"/>
    <x v="7"/>
    <n v="73.3"/>
  </r>
  <r>
    <x v="1"/>
    <x v="8"/>
    <n v="76.2"/>
  </r>
  <r>
    <x v="1"/>
    <x v="9"/>
    <n v="75.400000000000006"/>
  </r>
  <r>
    <x v="1"/>
    <x v="10"/>
    <n v="73"/>
  </r>
  <r>
    <x v="1"/>
    <x v="11"/>
    <n v="64.099999999999994"/>
  </r>
  <r>
    <x v="2"/>
    <x v="0"/>
    <n v="41.3"/>
  </r>
  <r>
    <x v="2"/>
    <x v="1"/>
    <n v="38.5"/>
  </r>
  <r>
    <x v="2"/>
    <x v="2"/>
    <n v="36.799999999999997"/>
  </r>
  <r>
    <x v="2"/>
    <x v="3"/>
    <n v="34"/>
  </r>
  <r>
    <x v="2"/>
    <x v="4"/>
    <n v="40.299999999999997"/>
  </r>
  <r>
    <x v="2"/>
    <x v="5"/>
    <n v="33"/>
  </r>
  <r>
    <x v="2"/>
    <x v="6"/>
    <n v="38.299999999999997"/>
  </r>
  <r>
    <x v="2"/>
    <x v="7"/>
    <n v="37.200000000000003"/>
  </r>
  <r>
    <x v="2"/>
    <x v="8"/>
    <n v="40.9"/>
  </r>
  <r>
    <x v="2"/>
    <x v="9"/>
    <n v="38.200000000000003"/>
  </r>
  <r>
    <x v="2"/>
    <x v="10"/>
    <n v="28.1"/>
  </r>
  <r>
    <x v="3"/>
    <x v="0"/>
    <n v="42.2"/>
  </r>
  <r>
    <x v="3"/>
    <x v="1"/>
    <n v="39.5"/>
  </r>
  <r>
    <x v="3"/>
    <x v="2"/>
    <n v="38"/>
  </r>
  <r>
    <x v="3"/>
    <x v="3"/>
    <n v="31.7"/>
  </r>
  <r>
    <x v="3"/>
    <x v="4"/>
    <n v="33.299999999999997"/>
  </r>
  <r>
    <x v="3"/>
    <x v="5"/>
    <n v="31.3"/>
  </r>
  <r>
    <x v="3"/>
    <x v="6"/>
    <n v="34.700000000000003"/>
  </r>
  <r>
    <x v="3"/>
    <x v="7"/>
    <n v="40.5"/>
  </r>
  <r>
    <x v="3"/>
    <x v="8"/>
    <n v="41"/>
  </r>
  <r>
    <x v="3"/>
    <x v="9"/>
    <n v="37.5"/>
  </r>
  <r>
    <x v="3"/>
    <x v="10"/>
    <n v="36.799999999999997"/>
  </r>
  <r>
    <x v="3"/>
    <x v="11"/>
    <n v="38.5"/>
  </r>
  <r>
    <x v="4"/>
    <x v="0"/>
    <n v="40.799999999999997"/>
  </r>
  <r>
    <x v="4"/>
    <x v="1"/>
    <n v="34"/>
  </r>
  <r>
    <x v="4"/>
    <x v="2"/>
    <n v="35"/>
  </r>
  <r>
    <x v="4"/>
    <x v="3"/>
    <n v="36.799999999999997"/>
  </r>
  <r>
    <x v="4"/>
    <x v="4"/>
    <n v="26.1"/>
  </r>
  <r>
    <x v="4"/>
    <x v="5"/>
    <n v="37.200000000000003"/>
  </r>
  <r>
    <x v="4"/>
    <x v="6"/>
    <n v="30"/>
  </r>
  <r>
    <x v="4"/>
    <x v="7"/>
    <n v="32.5"/>
  </r>
  <r>
    <x v="4"/>
    <x v="8"/>
    <n v="40.1"/>
  </r>
  <r>
    <x v="4"/>
    <x v="9"/>
    <n v="34.9"/>
  </r>
  <r>
    <x v="4"/>
    <x v="10"/>
    <n v="32.700000000000003"/>
  </r>
  <r>
    <x v="4"/>
    <x v="11"/>
    <n v="32.299999999999997"/>
  </r>
  <r>
    <x v="5"/>
    <x v="0"/>
    <n v="76.900000000000006"/>
  </r>
  <r>
    <x v="5"/>
    <x v="1"/>
    <n v="77.900000000000006"/>
  </r>
  <r>
    <x v="5"/>
    <x v="2"/>
    <n v="75.900000000000006"/>
  </r>
  <r>
    <x v="5"/>
    <x v="3"/>
    <n v="79.7"/>
  </r>
  <r>
    <x v="5"/>
    <x v="4"/>
    <n v="79.5"/>
  </r>
  <r>
    <x v="5"/>
    <x v="5"/>
    <n v="78.2"/>
  </r>
  <r>
    <x v="5"/>
    <x v="6"/>
    <n v="72.900000000000006"/>
  </r>
  <r>
    <x v="5"/>
    <x v="7"/>
    <n v="75.8"/>
  </r>
  <r>
    <x v="5"/>
    <x v="8"/>
    <n v="75.3"/>
  </r>
  <r>
    <x v="5"/>
    <x v="9"/>
    <n v="78.5"/>
  </r>
  <r>
    <x v="5"/>
    <x v="10"/>
    <n v="72.099999999999994"/>
  </r>
  <r>
    <x v="5"/>
    <x v="11"/>
    <n v="72.2"/>
  </r>
  <r>
    <x v="6"/>
    <x v="0"/>
    <n v="72"/>
  </r>
  <r>
    <x v="6"/>
    <x v="1"/>
    <n v="72.3"/>
  </r>
  <r>
    <x v="6"/>
    <x v="2"/>
    <n v="68.599999999999994"/>
  </r>
  <r>
    <x v="6"/>
    <x v="3"/>
    <n v="72"/>
  </r>
  <r>
    <x v="6"/>
    <x v="4"/>
    <n v="76.099999999999994"/>
  </r>
  <r>
    <x v="6"/>
    <x v="5"/>
    <n v="71.5"/>
  </r>
  <r>
    <x v="6"/>
    <x v="6"/>
    <n v="72.8"/>
  </r>
  <r>
    <x v="6"/>
    <x v="7"/>
    <n v="69.099999999999994"/>
  </r>
  <r>
    <x v="6"/>
    <x v="8"/>
    <n v="70.400000000000006"/>
  </r>
  <r>
    <x v="6"/>
    <x v="9"/>
    <n v="70.8"/>
  </r>
  <r>
    <x v="6"/>
    <x v="10"/>
    <n v="72.3"/>
  </r>
  <r>
    <x v="6"/>
    <x v="11"/>
    <n v="69"/>
  </r>
  <r>
    <x v="7"/>
    <x v="0"/>
    <n v="48.1"/>
  </r>
  <r>
    <x v="7"/>
    <x v="1"/>
    <n v="46.1"/>
  </r>
  <r>
    <x v="7"/>
    <x v="2"/>
    <n v="41.9"/>
  </r>
  <r>
    <x v="7"/>
    <x v="3"/>
    <n v="39.299999999999997"/>
  </r>
  <r>
    <x v="7"/>
    <x v="4"/>
    <n v="42.7"/>
  </r>
  <r>
    <x v="7"/>
    <x v="5"/>
    <n v="46.1"/>
  </r>
  <r>
    <x v="7"/>
    <x v="6"/>
    <n v="39.700000000000003"/>
  </r>
  <r>
    <x v="7"/>
    <x v="7"/>
    <n v="44.6"/>
  </r>
  <r>
    <x v="7"/>
    <x v="8"/>
    <n v="45.5"/>
  </r>
  <r>
    <x v="7"/>
    <x v="9"/>
    <n v="41.4"/>
  </r>
  <r>
    <x v="7"/>
    <x v="10"/>
    <n v="48.2"/>
  </r>
  <r>
    <x v="7"/>
    <x v="11"/>
    <n v="36.200000000000003"/>
  </r>
  <r>
    <x v="8"/>
    <x v="0"/>
    <n v="61.6"/>
  </r>
  <r>
    <x v="8"/>
    <x v="1"/>
    <n v="69.3"/>
  </r>
  <r>
    <x v="8"/>
    <x v="2"/>
    <n v="59.7"/>
  </r>
  <r>
    <x v="8"/>
    <x v="3"/>
    <n v="64.5"/>
  </r>
  <r>
    <x v="8"/>
    <x v="4"/>
    <n v="59.9"/>
  </r>
  <r>
    <x v="8"/>
    <x v="5"/>
    <n v="62.7"/>
  </r>
  <r>
    <x v="8"/>
    <x v="6"/>
    <n v="59.7"/>
  </r>
  <r>
    <x v="8"/>
    <x v="7"/>
    <n v="58.8"/>
  </r>
  <r>
    <x v="8"/>
    <x v="8"/>
    <n v="66"/>
  </r>
  <r>
    <x v="8"/>
    <x v="9"/>
    <n v="62.8"/>
  </r>
  <r>
    <x v="8"/>
    <x v="10"/>
    <n v="64.8"/>
  </r>
  <r>
    <x v="8"/>
    <x v="11"/>
    <n v="60.8"/>
  </r>
  <r>
    <x v="9"/>
    <x v="0"/>
    <n v="48.6"/>
  </r>
  <r>
    <x v="9"/>
    <x v="1"/>
    <n v="45.7"/>
  </r>
  <r>
    <x v="9"/>
    <x v="2"/>
    <n v="45.7"/>
  </r>
  <r>
    <x v="9"/>
    <x v="3"/>
    <n v="45.3"/>
  </r>
  <r>
    <x v="9"/>
    <x v="4"/>
    <n v="49.1"/>
  </r>
  <r>
    <x v="9"/>
    <x v="5"/>
    <n v="39.700000000000003"/>
  </r>
  <r>
    <x v="9"/>
    <x v="6"/>
    <n v="39.299999999999997"/>
  </r>
  <r>
    <x v="9"/>
    <x v="7"/>
    <n v="43.6"/>
  </r>
  <r>
    <x v="9"/>
    <x v="8"/>
    <n v="45.6"/>
  </r>
  <r>
    <x v="9"/>
    <x v="9"/>
    <n v="50.1"/>
  </r>
  <r>
    <x v="9"/>
    <x v="10"/>
    <n v="42.9"/>
  </r>
  <r>
    <x v="10"/>
    <x v="0"/>
    <n v="58.7"/>
  </r>
  <r>
    <x v="10"/>
    <x v="1"/>
    <n v="56.6"/>
  </r>
  <r>
    <x v="10"/>
    <x v="2"/>
    <n v="52.2"/>
  </r>
  <r>
    <x v="10"/>
    <x v="3"/>
    <n v="54.2"/>
  </r>
  <r>
    <x v="10"/>
    <x v="4"/>
    <n v="53.9"/>
  </r>
  <r>
    <x v="10"/>
    <x v="5"/>
    <n v="58.3"/>
  </r>
  <r>
    <x v="10"/>
    <x v="6"/>
    <n v="55.7"/>
  </r>
  <r>
    <x v="10"/>
    <x v="7"/>
    <n v="53.7"/>
  </r>
  <r>
    <x v="10"/>
    <x v="8"/>
    <n v="56.2"/>
  </r>
  <r>
    <x v="10"/>
    <x v="9"/>
    <n v="53.1"/>
  </r>
  <r>
    <x v="10"/>
    <x v="10"/>
    <n v="57.2"/>
  </r>
  <r>
    <x v="11"/>
    <x v="0"/>
    <n v="66.099999999999994"/>
  </r>
  <r>
    <x v="11"/>
    <x v="1"/>
    <n v="67.599999999999994"/>
  </r>
  <r>
    <x v="11"/>
    <x v="2"/>
    <n v="66"/>
  </r>
  <r>
    <x v="11"/>
    <x v="3"/>
    <n v="68.7"/>
  </r>
  <r>
    <x v="11"/>
    <x v="4"/>
    <n v="66.7"/>
  </r>
  <r>
    <x v="11"/>
    <x v="5"/>
    <n v="67.099999999999994"/>
  </r>
  <r>
    <x v="11"/>
    <x v="6"/>
    <n v="67.099999999999994"/>
  </r>
  <r>
    <x v="11"/>
    <x v="7"/>
    <n v="65.099999999999994"/>
  </r>
  <r>
    <x v="11"/>
    <x v="8"/>
    <n v="72.7"/>
  </r>
  <r>
    <x v="11"/>
    <x v="9"/>
    <n v="67"/>
  </r>
  <r>
    <x v="11"/>
    <x v="10"/>
    <n v="65.2"/>
  </r>
  <r>
    <x v="11"/>
    <x v="11"/>
    <n v="65.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2">
  <r>
    <x v="0"/>
    <s v="Credit"/>
    <s v="Web"/>
    <n v="177.72"/>
    <x v="0"/>
  </r>
  <r>
    <x v="0"/>
    <s v="Credit"/>
    <s v="Web"/>
    <n v="20.39"/>
    <x v="0"/>
  </r>
  <r>
    <x v="0"/>
    <s v="Credit"/>
    <s v="Web"/>
    <n v="151.66999999999999"/>
    <x v="0"/>
  </r>
  <r>
    <x v="0"/>
    <s v="Credit"/>
    <s v="Web"/>
    <n v="18.29"/>
    <x v="0"/>
  </r>
  <r>
    <x v="0"/>
    <s v="Paypal"/>
    <s v="Web"/>
    <n v="209.51"/>
    <x v="0"/>
  </r>
  <r>
    <x v="0"/>
    <s v="Credit"/>
    <s v="Web"/>
    <n v="15.96"/>
    <x v="0"/>
  </r>
  <r>
    <x v="0"/>
    <s v="Paypal"/>
    <s v="Web"/>
    <n v="18.12"/>
    <x v="0"/>
  </r>
  <r>
    <x v="0"/>
    <s v="Credit"/>
    <s v="Web"/>
    <n v="18.32"/>
    <x v="0"/>
  </r>
  <r>
    <x v="0"/>
    <s v="Paypal"/>
    <s v="Web"/>
    <n v="24.35"/>
    <x v="0"/>
  </r>
  <r>
    <x v="0"/>
    <s v="Credit"/>
    <s v="Email"/>
    <n v="19.399999999999999"/>
    <x v="0"/>
  </r>
  <r>
    <x v="0"/>
    <s v="Paypal"/>
    <s v="Email"/>
    <n v="23.49"/>
    <x v="0"/>
  </r>
  <r>
    <x v="0"/>
    <s v="Paypal"/>
    <s v="Web"/>
    <n v="20.309999999999999"/>
    <x v="0"/>
  </r>
  <r>
    <x v="0"/>
    <s v="Credit"/>
    <s v="Email"/>
    <n v="23.62"/>
    <x v="0"/>
  </r>
  <r>
    <x v="0"/>
    <s v="Credit"/>
    <s v="Web"/>
    <n v="216.37"/>
    <x v="0"/>
  </r>
  <r>
    <x v="0"/>
    <s v="Credit"/>
    <s v="Email"/>
    <n v="17.309999999999999"/>
    <x v="0"/>
  </r>
  <r>
    <x v="0"/>
    <s v="Credit"/>
    <s v="Web"/>
    <n v="19.350000000000001"/>
    <x v="0"/>
  </r>
  <r>
    <x v="0"/>
    <s v="Credit"/>
    <s v="Web"/>
    <n v="22.83"/>
    <x v="0"/>
  </r>
  <r>
    <x v="0"/>
    <s v="Credit"/>
    <s v="Web"/>
    <n v="174.18"/>
    <x v="0"/>
  </r>
  <r>
    <x v="0"/>
    <s v="Credit"/>
    <s v="Email"/>
    <n v="16.43"/>
    <x v="0"/>
  </r>
  <r>
    <x v="0"/>
    <s v="Credit"/>
    <s v="Email"/>
    <n v="15.71"/>
    <x v="0"/>
  </r>
  <r>
    <x v="0"/>
    <s v="Paypal"/>
    <s v="Email"/>
    <n v="17.489999999999998"/>
    <x v="0"/>
  </r>
  <r>
    <x v="0"/>
    <s v="Credit"/>
    <s v="Web"/>
    <n v="24.35"/>
    <x v="0"/>
  </r>
  <r>
    <x v="0"/>
    <s v="Credit"/>
    <s v="Email"/>
    <n v="177.32"/>
    <x v="0"/>
  </r>
  <r>
    <x v="0"/>
    <s v="Credit"/>
    <s v="Email"/>
    <n v="24.4"/>
    <x v="0"/>
  </r>
  <r>
    <x v="0"/>
    <s v="Paypal"/>
    <s v="Email"/>
    <n v="16.13"/>
    <x v="0"/>
  </r>
  <r>
    <x v="0"/>
    <s v="Paypal"/>
    <s v="Web"/>
    <n v="17.100000000000001"/>
    <x v="0"/>
  </r>
  <r>
    <x v="0"/>
    <s v="Credit"/>
    <s v="Email"/>
    <n v="21.01"/>
    <x v="0"/>
  </r>
  <r>
    <x v="0"/>
    <s v="Credit"/>
    <s v="Email"/>
    <n v="16.34"/>
    <x v="0"/>
  </r>
  <r>
    <x v="0"/>
    <s v="Paypal"/>
    <s v="Web"/>
    <n v="243.7"/>
    <x v="0"/>
  </r>
  <r>
    <x v="0"/>
    <s v="Credit"/>
    <s v="Email"/>
    <n v="209.2"/>
    <x v="0"/>
  </r>
  <r>
    <x v="0"/>
    <s v="Credit"/>
    <s v="Email"/>
    <n v="24"/>
    <x v="0"/>
  </r>
  <r>
    <x v="0"/>
    <s v="Paypal"/>
    <s v="Web"/>
    <n v="17.190000000000001"/>
    <x v="0"/>
  </r>
  <r>
    <x v="0"/>
    <s v="Credit"/>
    <s v="Web"/>
    <n v="21.64"/>
    <x v="0"/>
  </r>
  <r>
    <x v="0"/>
    <s v="Credit"/>
    <s v="Web"/>
    <n v="15.32"/>
    <x v="0"/>
  </r>
  <r>
    <x v="0"/>
    <s v="Credit"/>
    <s v="Web"/>
    <n v="20.97"/>
    <x v="0"/>
  </r>
  <r>
    <x v="0"/>
    <s v="Credit"/>
    <s v="Web"/>
    <n v="23.08"/>
    <x v="0"/>
  </r>
  <r>
    <x v="0"/>
    <s v="Paypal"/>
    <s v="Email"/>
    <n v="24.61"/>
    <x v="0"/>
  </r>
  <r>
    <x v="0"/>
    <s v="Credit"/>
    <s v="Web"/>
    <n v="24.97"/>
    <x v="0"/>
  </r>
  <r>
    <x v="0"/>
    <s v="Credit"/>
    <s v="Email"/>
    <n v="244.75"/>
    <x v="0"/>
  </r>
  <r>
    <x v="0"/>
    <s v="Credit"/>
    <s v="Web"/>
    <n v="162.74"/>
    <x v="0"/>
  </r>
  <r>
    <x v="0"/>
    <s v="Paypal"/>
    <s v="Email"/>
    <n v="19.829999999999998"/>
    <x v="0"/>
  </r>
  <r>
    <x v="0"/>
    <s v="Paypal"/>
    <s v="Web"/>
    <n v="19.649999999999999"/>
    <x v="0"/>
  </r>
  <r>
    <x v="0"/>
    <s v="Credit"/>
    <s v="Web"/>
    <n v="22.41"/>
    <x v="0"/>
  </r>
  <r>
    <x v="0"/>
    <s v="Credit"/>
    <s v="Web"/>
    <n v="21.32"/>
    <x v="0"/>
  </r>
  <r>
    <x v="0"/>
    <s v="Paypal"/>
    <s v="Web"/>
    <n v="150.86000000000001"/>
    <x v="0"/>
  </r>
  <r>
    <x v="0"/>
    <s v="Credit"/>
    <s v="Web"/>
    <n v="199.18"/>
    <x v="0"/>
  </r>
  <r>
    <x v="0"/>
    <s v="Paypal"/>
    <s v="Web"/>
    <n v="24.8"/>
    <x v="0"/>
  </r>
  <r>
    <x v="0"/>
    <s v="Credit"/>
    <s v="Web"/>
    <n v="17.38"/>
    <x v="0"/>
  </r>
  <r>
    <x v="0"/>
    <s v="Credit"/>
    <s v="Web"/>
    <n v="22.99"/>
    <x v="0"/>
  </r>
  <r>
    <x v="0"/>
    <s v="Credit"/>
    <s v="Web"/>
    <n v="24.11"/>
    <x v="0"/>
  </r>
  <r>
    <x v="0"/>
    <s v="Paypal"/>
    <s v="Web"/>
    <n v="22.64"/>
    <x v="0"/>
  </r>
  <r>
    <x v="0"/>
    <s v="Credit"/>
    <s v="Web"/>
    <n v="169.79"/>
    <x v="0"/>
  </r>
  <r>
    <x v="0"/>
    <s v="Credit"/>
    <s v="Web"/>
    <n v="17.420000000000002"/>
    <x v="0"/>
  </r>
  <r>
    <x v="0"/>
    <s v="Credit"/>
    <s v="Web"/>
    <n v="18.77"/>
    <x v="0"/>
  </r>
  <r>
    <x v="0"/>
    <s v="Credit"/>
    <s v="Web"/>
    <n v="19.66"/>
    <x v="0"/>
  </r>
  <r>
    <x v="0"/>
    <s v="Credit"/>
    <s v="Email"/>
    <n v="23.89"/>
    <x v="0"/>
  </r>
  <r>
    <x v="0"/>
    <s v="Paypal"/>
    <s v="Web"/>
    <n v="20.190000000000001"/>
    <x v="1"/>
  </r>
  <r>
    <x v="0"/>
    <s v="Paypal"/>
    <s v="Web"/>
    <n v="18.36"/>
    <x v="1"/>
  </r>
  <r>
    <x v="0"/>
    <s v="Credit"/>
    <s v="Web"/>
    <n v="16.3"/>
    <x v="1"/>
  </r>
  <r>
    <x v="0"/>
    <s v="Credit"/>
    <s v="Web"/>
    <n v="16.149999999999999"/>
    <x v="1"/>
  </r>
  <r>
    <x v="0"/>
    <s v="Credit"/>
    <s v="Web"/>
    <n v="18.37"/>
    <x v="1"/>
  </r>
  <r>
    <x v="0"/>
    <s v="Credit"/>
    <s v="Web"/>
    <n v="18.22"/>
    <x v="1"/>
  </r>
  <r>
    <x v="0"/>
    <s v="Credit"/>
    <s v="Email"/>
    <n v="16.100000000000001"/>
    <x v="1"/>
  </r>
  <r>
    <x v="0"/>
    <s v="Credit"/>
    <s v="Web"/>
    <n v="15.95"/>
    <x v="1"/>
  </r>
  <r>
    <x v="0"/>
    <s v="Credit"/>
    <s v="Web"/>
    <n v="21.7"/>
    <x v="1"/>
  </r>
  <r>
    <x v="0"/>
    <s v="Credit"/>
    <s v="Web"/>
    <n v="16.43"/>
    <x v="1"/>
  </r>
  <r>
    <x v="0"/>
    <s v="Credit"/>
    <s v="Web"/>
    <n v="17.47"/>
    <x v="1"/>
  </r>
  <r>
    <x v="0"/>
    <s v="Credit"/>
    <s v="Email"/>
    <n v="20.309999999999999"/>
    <x v="1"/>
  </r>
  <r>
    <x v="0"/>
    <s v="Credit"/>
    <s v="Web"/>
    <n v="18.25"/>
    <x v="1"/>
  </r>
  <r>
    <x v="0"/>
    <s v="Credit"/>
    <s v="Web"/>
    <n v="17.420000000000002"/>
    <x v="1"/>
  </r>
  <r>
    <x v="0"/>
    <s v="Credit"/>
    <s v="Email"/>
    <n v="23.73"/>
    <x v="1"/>
  </r>
  <r>
    <x v="0"/>
    <s v="Credit"/>
    <s v="Web"/>
    <n v="20.75"/>
    <x v="1"/>
  </r>
  <r>
    <x v="0"/>
    <s v="Paypal"/>
    <s v="Web"/>
    <n v="22.2"/>
    <x v="1"/>
  </r>
  <r>
    <x v="0"/>
    <s v="Paypal"/>
    <s v="Web"/>
    <n v="21.15"/>
    <x v="1"/>
  </r>
  <r>
    <x v="0"/>
    <s v="Credit"/>
    <s v="Web"/>
    <n v="15.16"/>
    <x v="1"/>
  </r>
  <r>
    <x v="0"/>
    <s v="Credit"/>
    <s v="Web"/>
    <n v="18.940000000000001"/>
    <x v="1"/>
  </r>
  <r>
    <x v="0"/>
    <s v="Credit"/>
    <s v="Web"/>
    <n v="15.59"/>
    <x v="1"/>
  </r>
  <r>
    <x v="0"/>
    <s v="Credit"/>
    <s v="Web"/>
    <n v="17.2"/>
    <x v="1"/>
  </r>
  <r>
    <x v="0"/>
    <s v="Credit"/>
    <s v="Web"/>
    <n v="15.81"/>
    <x v="1"/>
  </r>
  <r>
    <x v="0"/>
    <s v="Credit"/>
    <s v="Web"/>
    <n v="24.71"/>
    <x v="1"/>
  </r>
  <r>
    <x v="0"/>
    <s v="Credit"/>
    <s v="Web"/>
    <n v="21.49"/>
    <x v="1"/>
  </r>
  <r>
    <x v="0"/>
    <s v="Credit"/>
    <s v="Email"/>
    <n v="21.85"/>
    <x v="1"/>
  </r>
  <r>
    <x v="0"/>
    <s v="Credit"/>
    <s v="Web"/>
    <n v="22.05"/>
    <x v="1"/>
  </r>
  <r>
    <x v="0"/>
    <s v="Credit"/>
    <s v="Web"/>
    <n v="22.8"/>
    <x v="1"/>
  </r>
  <r>
    <x v="0"/>
    <s v="Credit"/>
    <s v="Web"/>
    <n v="21"/>
    <x v="1"/>
  </r>
  <r>
    <x v="0"/>
    <s v="Credit"/>
    <s v="Web"/>
    <n v="17.34"/>
    <x v="1"/>
  </r>
  <r>
    <x v="0"/>
    <s v="Credit"/>
    <s v="Email"/>
    <n v="17.22"/>
    <x v="1"/>
  </r>
  <r>
    <x v="0"/>
    <s v="Credit"/>
    <s v="Web"/>
    <n v="15.45"/>
    <x v="1"/>
  </r>
  <r>
    <x v="0"/>
    <s v="Paypal"/>
    <s v="Web"/>
    <n v="23.4"/>
    <x v="1"/>
  </r>
  <r>
    <x v="0"/>
    <s v="Credit"/>
    <s v="Web"/>
    <n v="16.86"/>
    <x v="1"/>
  </r>
  <r>
    <x v="0"/>
    <s v="Credit"/>
    <s v="Web"/>
    <n v="24.58"/>
    <x v="1"/>
  </r>
  <r>
    <x v="0"/>
    <s v="Credit"/>
    <s v="Web"/>
    <n v="15.55"/>
    <x v="1"/>
  </r>
  <r>
    <x v="0"/>
    <s v="Paypal"/>
    <s v="Email"/>
    <n v="22.51"/>
    <x v="1"/>
  </r>
  <r>
    <x v="0"/>
    <s v="Paypal"/>
    <s v="Web"/>
    <n v="16.149999999999999"/>
    <x v="1"/>
  </r>
  <r>
    <x v="0"/>
    <s v="Credit"/>
    <s v="Web"/>
    <n v="23.87"/>
    <x v="1"/>
  </r>
  <r>
    <x v="0"/>
    <s v="Paypal"/>
    <s v="Web"/>
    <n v="17.670000000000002"/>
    <x v="1"/>
  </r>
  <r>
    <x v="0"/>
    <s v="Credit"/>
    <s v="Web"/>
    <n v="17.28"/>
    <x v="1"/>
  </r>
  <r>
    <x v="0"/>
    <s v="Credit"/>
    <s v="Web"/>
    <n v="22.57"/>
    <x v="1"/>
  </r>
  <r>
    <x v="1"/>
    <s v="Paypal"/>
    <s v="Email"/>
    <n v="23.51"/>
    <x v="0"/>
  </r>
  <r>
    <x v="1"/>
    <s v="Credit"/>
    <s v="Web"/>
    <n v="21.76"/>
    <x v="0"/>
  </r>
  <r>
    <x v="1"/>
    <s v="Credit"/>
    <s v="Email"/>
    <n v="19.510000000000002"/>
    <x v="0"/>
  </r>
  <r>
    <x v="1"/>
    <s v="Paypal"/>
    <s v="Web"/>
    <n v="20.16"/>
    <x v="0"/>
  </r>
  <r>
    <x v="1"/>
    <s v="Credit"/>
    <s v="Web"/>
    <n v="205.58"/>
    <x v="0"/>
  </r>
  <r>
    <x v="1"/>
    <s v="Paypal"/>
    <s v="Email"/>
    <n v="206.8"/>
    <x v="0"/>
  </r>
  <r>
    <x v="1"/>
    <s v="Credit"/>
    <s v="Web"/>
    <n v="18.82"/>
    <x v="0"/>
  </r>
  <r>
    <x v="1"/>
    <s v="Credit"/>
    <s v="Web"/>
    <n v="16.350000000000001"/>
    <x v="0"/>
  </r>
  <r>
    <x v="1"/>
    <s v="Credit"/>
    <s v="Web"/>
    <n v="16.03"/>
    <x v="0"/>
  </r>
  <r>
    <x v="1"/>
    <s v="Credit"/>
    <s v="Web"/>
    <n v="16.059999999999999"/>
    <x v="0"/>
  </r>
  <r>
    <x v="1"/>
    <s v="Paypal"/>
    <s v="Web"/>
    <n v="21.75"/>
    <x v="0"/>
  </r>
  <r>
    <x v="1"/>
    <s v="Paypal"/>
    <s v="Web"/>
    <n v="20.51"/>
    <x v="0"/>
  </r>
  <r>
    <x v="1"/>
    <s v="Paypal"/>
    <s v="Email"/>
    <n v="157.76"/>
    <x v="0"/>
  </r>
  <r>
    <x v="1"/>
    <s v="Credit"/>
    <s v="Web"/>
    <n v="23.94"/>
    <x v="0"/>
  </r>
  <r>
    <x v="1"/>
    <s v="Paypal"/>
    <s v="Email"/>
    <n v="174.25"/>
    <x v="0"/>
  </r>
  <r>
    <x v="1"/>
    <s v="Paypal"/>
    <s v="Email"/>
    <n v="18.059999999999999"/>
    <x v="0"/>
  </r>
  <r>
    <x v="1"/>
    <s v="Credit"/>
    <s v="Web"/>
    <n v="22.19"/>
    <x v="0"/>
  </r>
  <r>
    <x v="1"/>
    <s v="Credit"/>
    <s v="Web"/>
    <n v="23.9"/>
    <x v="0"/>
  </r>
  <r>
    <x v="1"/>
    <s v="Credit"/>
    <s v="Email"/>
    <n v="209.37"/>
    <x v="0"/>
  </r>
  <r>
    <x v="1"/>
    <s v="Paypal"/>
    <s v="Web"/>
    <n v="17.91"/>
    <x v="0"/>
  </r>
  <r>
    <x v="1"/>
    <s v="Credit"/>
    <s v="Web"/>
    <n v="22.9"/>
    <x v="0"/>
  </r>
  <r>
    <x v="1"/>
    <s v="Paypal"/>
    <s v="Web"/>
    <n v="18.54"/>
    <x v="0"/>
  </r>
  <r>
    <x v="1"/>
    <s v="Paypal"/>
    <s v="Web"/>
    <n v="236.49"/>
    <x v="0"/>
  </r>
  <r>
    <x v="1"/>
    <s v="Paypal"/>
    <s v="Web"/>
    <n v="19.96"/>
    <x v="0"/>
  </r>
  <r>
    <x v="1"/>
    <s v="Paypal"/>
    <s v="Email"/>
    <n v="155.91"/>
    <x v="0"/>
  </r>
  <r>
    <x v="1"/>
    <s v="Paypal"/>
    <s v="Web"/>
    <n v="15.19"/>
    <x v="0"/>
  </r>
  <r>
    <x v="1"/>
    <s v="Paypal"/>
    <s v="Web"/>
    <n v="24.65"/>
    <x v="0"/>
  </r>
  <r>
    <x v="1"/>
    <s v="Paypal"/>
    <s v="Email"/>
    <n v="24.88"/>
    <x v="0"/>
  </r>
  <r>
    <x v="1"/>
    <s v="Credit"/>
    <s v="Email"/>
    <n v="21.39"/>
    <x v="0"/>
  </r>
  <r>
    <x v="1"/>
    <s v="Credit"/>
    <s v="Web"/>
    <n v="15.72"/>
    <x v="0"/>
  </r>
  <r>
    <x v="1"/>
    <s v="Paypal"/>
    <s v="Email"/>
    <n v="16.09"/>
    <x v="0"/>
  </r>
  <r>
    <x v="1"/>
    <s v="Credit"/>
    <s v="Web"/>
    <n v="23.51"/>
    <x v="0"/>
  </r>
  <r>
    <x v="1"/>
    <s v="Credit"/>
    <s v="Web"/>
    <n v="190.81"/>
    <x v="0"/>
  </r>
  <r>
    <x v="1"/>
    <s v="Paypal"/>
    <s v="Web"/>
    <n v="21.12"/>
    <x v="0"/>
  </r>
  <r>
    <x v="1"/>
    <s v="Paypal"/>
    <s v="Web"/>
    <n v="19.649999999999999"/>
    <x v="0"/>
  </r>
  <r>
    <x v="1"/>
    <s v="Paypal"/>
    <s v="Web"/>
    <n v="19.88"/>
    <x v="0"/>
  </r>
  <r>
    <x v="1"/>
    <s v="Paypal"/>
    <s v="Web"/>
    <n v="15.08"/>
    <x v="0"/>
  </r>
  <r>
    <x v="1"/>
    <s v="Paypal"/>
    <s v="Web"/>
    <n v="17.52"/>
    <x v="0"/>
  </r>
  <r>
    <x v="1"/>
    <s v="Credit"/>
    <s v="Email"/>
    <n v="15.66"/>
    <x v="0"/>
  </r>
  <r>
    <x v="1"/>
    <s v="Credit"/>
    <s v="Web"/>
    <n v="22.37"/>
    <x v="0"/>
  </r>
  <r>
    <x v="1"/>
    <s v="Credit"/>
    <s v="Email"/>
    <n v="192.41"/>
    <x v="0"/>
  </r>
  <r>
    <x v="1"/>
    <s v="Credit"/>
    <s v="Web"/>
    <n v="22.39"/>
    <x v="0"/>
  </r>
  <r>
    <x v="1"/>
    <s v="Credit"/>
    <s v="Web"/>
    <n v="226.15"/>
    <x v="0"/>
  </r>
  <r>
    <x v="1"/>
    <s v="Paypal"/>
    <s v="Web"/>
    <n v="20.67"/>
    <x v="0"/>
  </r>
  <r>
    <x v="1"/>
    <s v="Credit"/>
    <s v="Web"/>
    <n v="19.190000000000001"/>
    <x v="0"/>
  </r>
  <r>
    <x v="1"/>
    <s v="Credit"/>
    <s v="Web"/>
    <n v="16.059999999999999"/>
    <x v="0"/>
  </r>
  <r>
    <x v="1"/>
    <s v="Credit"/>
    <s v="Web"/>
    <n v="23.59"/>
    <x v="0"/>
  </r>
  <r>
    <x v="1"/>
    <s v="Paypal"/>
    <s v="Email"/>
    <n v="20.420000000000002"/>
    <x v="0"/>
  </r>
  <r>
    <x v="1"/>
    <s v="Credit"/>
    <s v="Web"/>
    <n v="161.46"/>
    <x v="0"/>
  </r>
  <r>
    <x v="1"/>
    <s v="Paypal"/>
    <s v="Web"/>
    <n v="210.38"/>
    <x v="0"/>
  </r>
  <r>
    <x v="1"/>
    <s v="Paypal"/>
    <s v="Email"/>
    <n v="161.5"/>
    <x v="0"/>
  </r>
  <r>
    <x v="1"/>
    <s v="Paypal"/>
    <s v="Web"/>
    <n v="21.67"/>
    <x v="0"/>
  </r>
  <r>
    <x v="1"/>
    <s v="Paypal"/>
    <s v="Email"/>
    <n v="22.04"/>
    <x v="0"/>
  </r>
  <r>
    <x v="1"/>
    <s v="Credit"/>
    <s v="Web"/>
    <n v="17.809999999999999"/>
    <x v="0"/>
  </r>
  <r>
    <x v="1"/>
    <s v="Credit"/>
    <s v="Web"/>
    <n v="22.55"/>
    <x v="0"/>
  </r>
  <r>
    <x v="1"/>
    <s v="Credit"/>
    <s v="Web"/>
    <n v="241.65"/>
    <x v="0"/>
  </r>
  <r>
    <x v="1"/>
    <s v="Paypal"/>
    <s v="Email"/>
    <n v="242.4"/>
    <x v="0"/>
  </r>
  <r>
    <x v="1"/>
    <s v="Credit"/>
    <s v="Web"/>
    <n v="18.73"/>
    <x v="0"/>
  </r>
  <r>
    <x v="1"/>
    <s v="Paypal"/>
    <s v="Web"/>
    <n v="17.239999999999998"/>
    <x v="0"/>
  </r>
  <r>
    <x v="1"/>
    <s v="Paypal"/>
    <s v="Email"/>
    <n v="20.28"/>
    <x v="0"/>
  </r>
  <r>
    <x v="1"/>
    <s v="Paypal"/>
    <s v="Web"/>
    <n v="21.18"/>
    <x v="0"/>
  </r>
  <r>
    <x v="1"/>
    <s v="Credit"/>
    <s v="Web"/>
    <n v="15.86"/>
    <x v="0"/>
  </r>
  <r>
    <x v="1"/>
    <s v="Credit"/>
    <s v="Web"/>
    <n v="24.42"/>
    <x v="0"/>
  </r>
  <r>
    <x v="1"/>
    <s v="Credit"/>
    <s v="Email"/>
    <n v="24.71"/>
    <x v="0"/>
  </r>
  <r>
    <x v="1"/>
    <s v="Paypal"/>
    <s v="Web"/>
    <n v="15.4"/>
    <x v="0"/>
  </r>
  <r>
    <x v="1"/>
    <s v="Paypal"/>
    <s v="Web"/>
    <n v="19.95"/>
    <x v="0"/>
  </r>
  <r>
    <x v="1"/>
    <s v="Credit"/>
    <s v="Web"/>
    <n v="231.23"/>
    <x v="0"/>
  </r>
  <r>
    <x v="1"/>
    <s v="Credit"/>
    <s v="Web"/>
    <n v="21.83"/>
    <x v="0"/>
  </r>
  <r>
    <x v="1"/>
    <s v="Paypal"/>
    <s v="Web"/>
    <n v="18.350000000000001"/>
    <x v="0"/>
  </r>
  <r>
    <x v="1"/>
    <s v="Credit"/>
    <s v="Email"/>
    <n v="22.92"/>
    <x v="0"/>
  </r>
  <r>
    <x v="1"/>
    <s v="Paypal"/>
    <s v="Email"/>
    <n v="19.09"/>
    <x v="0"/>
  </r>
  <r>
    <x v="1"/>
    <s v="Paypal"/>
    <s v="Web"/>
    <n v="20.079999999999998"/>
    <x v="0"/>
  </r>
  <r>
    <x v="1"/>
    <s v="Credit"/>
    <s v="Email"/>
    <n v="24.54"/>
    <x v="0"/>
  </r>
  <r>
    <x v="1"/>
    <s v="Paypal"/>
    <s v="Web"/>
    <n v="24.81"/>
    <x v="0"/>
  </r>
  <r>
    <x v="1"/>
    <s v="Paypal"/>
    <s v="Web"/>
    <n v="17.68"/>
    <x v="0"/>
  </r>
  <r>
    <x v="1"/>
    <s v="Credit"/>
    <s v="Email"/>
    <n v="177.3"/>
    <x v="0"/>
  </r>
  <r>
    <x v="1"/>
    <s v="Paypal"/>
    <s v="Email"/>
    <n v="15.54"/>
    <x v="0"/>
  </r>
  <r>
    <x v="1"/>
    <s v="Paypal"/>
    <s v="Web"/>
    <n v="17.39"/>
    <x v="0"/>
  </r>
  <r>
    <x v="1"/>
    <s v="Paypal"/>
    <s v="Web"/>
    <n v="18.27"/>
    <x v="0"/>
  </r>
  <r>
    <x v="1"/>
    <s v="Credit"/>
    <s v="Web"/>
    <n v="23.75"/>
    <x v="0"/>
  </r>
  <r>
    <x v="1"/>
    <s v="Credit"/>
    <s v="Web"/>
    <n v="20.32"/>
    <x v="0"/>
  </r>
  <r>
    <x v="1"/>
    <s v="Paypal"/>
    <s v="Web"/>
    <n v="20.16"/>
    <x v="0"/>
  </r>
  <r>
    <x v="1"/>
    <s v="Credit"/>
    <s v="Web"/>
    <n v="16.79"/>
    <x v="0"/>
  </r>
  <r>
    <x v="1"/>
    <s v="Credit"/>
    <s v="Web"/>
    <n v="22.79"/>
    <x v="0"/>
  </r>
  <r>
    <x v="1"/>
    <s v="Credit"/>
    <s v="Email"/>
    <n v="18.739999999999998"/>
    <x v="0"/>
  </r>
  <r>
    <x v="1"/>
    <s v="Credit"/>
    <s v="Web"/>
    <n v="24.66"/>
    <x v="0"/>
  </r>
  <r>
    <x v="1"/>
    <s v="Credit"/>
    <s v="Web"/>
    <n v="18.190000000000001"/>
    <x v="0"/>
  </r>
  <r>
    <x v="1"/>
    <s v="Credit"/>
    <s v="Web"/>
    <n v="24.84"/>
    <x v="0"/>
  </r>
  <r>
    <x v="1"/>
    <s v="Credit"/>
    <s v="Email"/>
    <n v="16.649999999999999"/>
    <x v="0"/>
  </r>
  <r>
    <x v="1"/>
    <s v="Credit"/>
    <s v="Web"/>
    <n v="21.1"/>
    <x v="0"/>
  </r>
  <r>
    <x v="1"/>
    <s v="Paypal"/>
    <s v="Web"/>
    <n v="16.989999999999998"/>
    <x v="0"/>
  </r>
  <r>
    <x v="1"/>
    <s v="Paypal"/>
    <s v="Email"/>
    <n v="23.96"/>
    <x v="0"/>
  </r>
  <r>
    <x v="1"/>
    <s v="Credit"/>
    <s v="Web"/>
    <n v="17.760000000000002"/>
    <x v="0"/>
  </r>
  <r>
    <x v="1"/>
    <s v="Paypal"/>
    <s v="Web"/>
    <n v="18.87"/>
    <x v="0"/>
  </r>
  <r>
    <x v="1"/>
    <s v="Credit"/>
    <s v="Email"/>
    <n v="21.47"/>
    <x v="0"/>
  </r>
  <r>
    <x v="1"/>
    <s v="Credit"/>
    <s v="Web"/>
    <n v="218.6"/>
    <x v="0"/>
  </r>
  <r>
    <x v="1"/>
    <s v="Credit"/>
    <s v="Web"/>
    <n v="17.010000000000002"/>
    <x v="0"/>
  </r>
  <r>
    <x v="1"/>
    <s v="Credit"/>
    <s v="Web"/>
    <n v="247.14"/>
    <x v="0"/>
  </r>
  <r>
    <x v="1"/>
    <s v="Credit"/>
    <s v="Email"/>
    <n v="168.1"/>
    <x v="0"/>
  </r>
  <r>
    <x v="1"/>
    <s v="Credit"/>
    <s v="Web"/>
    <n v="16.829999999999998"/>
    <x v="0"/>
  </r>
  <r>
    <x v="1"/>
    <s v="Credit"/>
    <s v="Web"/>
    <n v="17.850000000000001"/>
    <x v="1"/>
  </r>
  <r>
    <x v="1"/>
    <s v="Paypal"/>
    <s v="Email"/>
    <n v="17.3"/>
    <x v="1"/>
  </r>
  <r>
    <x v="1"/>
    <s v="Paypal"/>
    <s v="Web"/>
    <n v="15.92"/>
    <x v="1"/>
  </r>
  <r>
    <x v="1"/>
    <s v="Credit"/>
    <s v="Web"/>
    <n v="21.01"/>
    <x v="1"/>
  </r>
  <r>
    <x v="1"/>
    <s v="Paypal"/>
    <s v="Web"/>
    <n v="22.91"/>
    <x v="1"/>
  </r>
  <r>
    <x v="1"/>
    <s v="Credit"/>
    <s v="Web"/>
    <n v="17.53"/>
    <x v="1"/>
  </r>
  <r>
    <x v="1"/>
    <s v="Credit"/>
    <s v="Web"/>
    <n v="17.739999999999998"/>
    <x v="1"/>
  </r>
  <r>
    <x v="1"/>
    <s v="Credit"/>
    <s v="Web"/>
    <n v="20.04"/>
    <x v="1"/>
  </r>
  <r>
    <x v="1"/>
    <s v="Paypal"/>
    <s v="Email"/>
    <n v="23.21"/>
    <x v="1"/>
  </r>
  <r>
    <x v="1"/>
    <s v="Credit"/>
    <s v="Email"/>
    <n v="22.79"/>
    <x v="1"/>
  </r>
  <r>
    <x v="1"/>
    <s v="Credit"/>
    <s v="Web"/>
    <n v="16.91"/>
    <x v="1"/>
  </r>
  <r>
    <x v="1"/>
    <s v="Credit"/>
    <s v="Web"/>
    <n v="21.39"/>
    <x v="1"/>
  </r>
  <r>
    <x v="1"/>
    <s v="Credit"/>
    <s v="Web"/>
    <n v="16.600000000000001"/>
    <x v="1"/>
  </r>
  <r>
    <x v="1"/>
    <s v="Credit"/>
    <s v="Web"/>
    <n v="20.82"/>
    <x v="1"/>
  </r>
  <r>
    <x v="1"/>
    <s v="Paypal"/>
    <s v="Email"/>
    <n v="21.02"/>
    <x v="1"/>
  </r>
  <r>
    <x v="1"/>
    <s v="Credit"/>
    <s v="Web"/>
    <n v="23.13"/>
    <x v="1"/>
  </r>
  <r>
    <x v="1"/>
    <s v="Paypal"/>
    <s v="Web"/>
    <n v="15.17"/>
    <x v="1"/>
  </r>
  <r>
    <x v="1"/>
    <s v="Paypal"/>
    <s v="Email"/>
    <n v="16.489999999999998"/>
    <x v="1"/>
  </r>
  <r>
    <x v="1"/>
    <s v="Credit"/>
    <s v="Web"/>
    <n v="23.77"/>
    <x v="1"/>
  </r>
  <r>
    <x v="1"/>
    <s v="Credit"/>
    <s v="Email"/>
    <n v="21.58"/>
    <x v="1"/>
  </r>
  <r>
    <x v="1"/>
    <s v="Credit"/>
    <s v="Email"/>
    <n v="18.2"/>
    <x v="1"/>
  </r>
  <r>
    <x v="1"/>
    <s v="Paypal"/>
    <s v="Web"/>
    <n v="20.260000000000002"/>
    <x v="1"/>
  </r>
  <r>
    <x v="1"/>
    <s v="Paypal"/>
    <s v="Web"/>
    <n v="19.149999999999999"/>
    <x v="1"/>
  </r>
  <r>
    <x v="1"/>
    <s v="Paypal"/>
    <s v="Web"/>
    <n v="20.82"/>
    <x v="1"/>
  </r>
  <r>
    <x v="1"/>
    <s v="Credit"/>
    <s v="Web"/>
    <n v="20.61"/>
    <x v="1"/>
  </r>
  <r>
    <x v="1"/>
    <s v="Credit"/>
    <s v="Web"/>
    <n v="21.1"/>
    <x v="1"/>
  </r>
  <r>
    <x v="1"/>
    <s v="Credit"/>
    <s v="Web"/>
    <n v="22.03"/>
    <x v="1"/>
  </r>
  <r>
    <x v="1"/>
    <s v="Credit"/>
    <s v="Email"/>
    <n v="24.03"/>
    <x v="1"/>
  </r>
  <r>
    <x v="1"/>
    <s v="Credit"/>
    <s v="Web"/>
    <n v="24.59"/>
    <x v="1"/>
  </r>
  <r>
    <x v="1"/>
    <s v="Paypal"/>
    <s v="Web"/>
    <n v="21.35"/>
    <x v="1"/>
  </r>
  <r>
    <x v="1"/>
    <s v="Credit"/>
    <s v="Web"/>
    <n v="19.47"/>
    <x v="1"/>
  </r>
  <r>
    <x v="1"/>
    <s v="Credit"/>
    <s v="Web"/>
    <n v="21.49"/>
    <x v="1"/>
  </r>
  <r>
    <x v="1"/>
    <s v="Credit"/>
    <s v="Web"/>
    <n v="19.71"/>
    <x v="1"/>
  </r>
  <r>
    <x v="1"/>
    <s v="Credit"/>
    <s v="Web"/>
    <n v="15.56"/>
    <x v="1"/>
  </r>
  <r>
    <x v="1"/>
    <s v="Credit"/>
    <s v="Web"/>
    <n v="21.78"/>
    <x v="1"/>
  </r>
  <r>
    <x v="1"/>
    <s v="Credit"/>
    <s v="Web"/>
    <n v="16.54"/>
    <x v="1"/>
  </r>
  <r>
    <x v="1"/>
    <s v="Paypal"/>
    <s v="Web"/>
    <n v="24.65"/>
    <x v="1"/>
  </r>
  <r>
    <x v="1"/>
    <s v="Credit"/>
    <s v="Web"/>
    <n v="21.12"/>
    <x v="1"/>
  </r>
  <r>
    <x v="1"/>
    <s v="Credit"/>
    <s v="Web"/>
    <n v="18.100000000000001"/>
    <x v="1"/>
  </r>
  <r>
    <x v="1"/>
    <s v="Credit"/>
    <s v="Email"/>
    <n v="19.170000000000002"/>
    <x v="1"/>
  </r>
  <r>
    <x v="1"/>
    <s v="Paypal"/>
    <s v="Web"/>
    <n v="15.18"/>
    <x v="1"/>
  </r>
  <r>
    <x v="1"/>
    <s v="Credit"/>
    <s v="Web"/>
    <n v="16.989999999999998"/>
    <x v="1"/>
  </r>
  <r>
    <x v="1"/>
    <s v="Paypal"/>
    <s v="Web"/>
    <n v="24.8"/>
    <x v="1"/>
  </r>
  <r>
    <x v="1"/>
    <s v="Credit"/>
    <s v="Web"/>
    <n v="23.03"/>
    <x v="1"/>
  </r>
  <r>
    <x v="1"/>
    <s v="Paypal"/>
    <s v="Web"/>
    <n v="21.03"/>
    <x v="1"/>
  </r>
  <r>
    <x v="1"/>
    <s v="Paypal"/>
    <s v="Web"/>
    <n v="22.26"/>
    <x v="1"/>
  </r>
  <r>
    <x v="1"/>
    <s v="Credit"/>
    <s v="Web"/>
    <n v="21.72"/>
    <x v="1"/>
  </r>
  <r>
    <x v="1"/>
    <s v="Credit"/>
    <s v="Email"/>
    <n v="19.21"/>
    <x v="1"/>
  </r>
  <r>
    <x v="1"/>
    <s v="Credit"/>
    <s v="Web"/>
    <n v="15.33"/>
    <x v="1"/>
  </r>
  <r>
    <x v="1"/>
    <s v="Credit"/>
    <s v="Web"/>
    <n v="23.58"/>
    <x v="1"/>
  </r>
  <r>
    <x v="1"/>
    <s v="Credit"/>
    <s v="Email"/>
    <n v="20.49"/>
    <x v="1"/>
  </r>
  <r>
    <x v="1"/>
    <s v="Credit"/>
    <s v="Web"/>
    <n v="23.75"/>
    <x v="1"/>
  </r>
  <r>
    <x v="1"/>
    <s v="Credit"/>
    <s v="Email"/>
    <n v="23.74"/>
    <x v="1"/>
  </r>
  <r>
    <x v="1"/>
    <s v="Paypal"/>
    <s v="Email"/>
    <n v="24.77"/>
    <x v="1"/>
  </r>
  <r>
    <x v="1"/>
    <s v="Paypal"/>
    <s v="Web"/>
    <n v="23.01"/>
    <x v="1"/>
  </r>
  <r>
    <x v="1"/>
    <s v="Paypal"/>
    <s v="Web"/>
    <n v="18.170000000000002"/>
    <x v="1"/>
  </r>
  <r>
    <x v="1"/>
    <s v="Credit"/>
    <s v="Web"/>
    <n v="15.25"/>
    <x v="1"/>
  </r>
  <r>
    <x v="1"/>
    <s v="Credit"/>
    <s v="Email"/>
    <n v="21.92"/>
    <x v="1"/>
  </r>
  <r>
    <x v="1"/>
    <s v="Credit"/>
    <s v="Email"/>
    <n v="16.149999999999999"/>
    <x v="1"/>
  </r>
  <r>
    <x v="1"/>
    <s v="Paypal"/>
    <s v="Web"/>
    <n v="15.61"/>
    <x v="1"/>
  </r>
  <r>
    <x v="1"/>
    <s v="Credit"/>
    <s v="Email"/>
    <n v="23.06"/>
    <x v="1"/>
  </r>
  <r>
    <x v="1"/>
    <s v="Credit"/>
    <s v="Email"/>
    <n v="22.84"/>
    <x v="1"/>
  </r>
  <r>
    <x v="1"/>
    <s v="Credit"/>
    <s v="Web"/>
    <n v="22.57"/>
    <x v="1"/>
  </r>
  <r>
    <x v="1"/>
    <s v="Credit"/>
    <s v="Web"/>
    <n v="24.79"/>
    <x v="1"/>
  </r>
  <r>
    <x v="1"/>
    <s v="Credit"/>
    <s v="Email"/>
    <n v="18.84"/>
    <x v="1"/>
  </r>
  <r>
    <x v="1"/>
    <s v="Paypal"/>
    <s v="Web"/>
    <n v="22.92"/>
    <x v="1"/>
  </r>
  <r>
    <x v="1"/>
    <s v="Paypal"/>
    <s v="Email"/>
    <n v="15.94"/>
    <x v="1"/>
  </r>
  <r>
    <x v="1"/>
    <s v="Paypal"/>
    <s v="Web"/>
    <n v="19.2"/>
    <x v="1"/>
  </r>
  <r>
    <x v="1"/>
    <s v="Credit"/>
    <s v="Email"/>
    <n v="17.34"/>
    <x v="1"/>
  </r>
  <r>
    <x v="1"/>
    <s v="Credit"/>
    <s v="Web"/>
    <n v="18.41"/>
    <x v="1"/>
  </r>
  <r>
    <x v="1"/>
    <s v="Paypal"/>
    <s v="Web"/>
    <n v="17.079999999999998"/>
    <x v="1"/>
  </r>
  <r>
    <x v="1"/>
    <s v="Credit"/>
    <s v="Web"/>
    <n v="17.5"/>
    <x v="1"/>
  </r>
  <r>
    <x v="1"/>
    <s v="Credit"/>
    <s v="Web"/>
    <n v="19.27"/>
    <x v="1"/>
  </r>
  <r>
    <x v="1"/>
    <s v="Credit"/>
    <s v="Web"/>
    <n v="15.59"/>
    <x v="1"/>
  </r>
  <r>
    <x v="1"/>
    <s v="Credit"/>
    <s v="Web"/>
    <n v="20.88"/>
    <x v="1"/>
  </r>
  <r>
    <x v="1"/>
    <s v="Credit"/>
    <s v="Web"/>
    <n v="16.47"/>
    <x v="1"/>
  </r>
  <r>
    <x v="1"/>
    <s v="Paypal"/>
    <s v="Web"/>
    <n v="18.11"/>
    <x v="1"/>
  </r>
  <r>
    <x v="1"/>
    <s v="Paypal"/>
    <s v="Web"/>
    <n v="20.73"/>
    <x v="1"/>
  </r>
  <r>
    <x v="1"/>
    <s v="Credit"/>
    <s v="Web"/>
    <n v="21.64"/>
    <x v="1"/>
  </r>
  <r>
    <x v="1"/>
    <s v="Credit"/>
    <s v="Web"/>
    <n v="17.7"/>
    <x v="1"/>
  </r>
  <r>
    <x v="1"/>
    <s v="Credit"/>
    <s v="Web"/>
    <n v="24.24"/>
    <x v="1"/>
  </r>
  <r>
    <x v="1"/>
    <s v="Credit"/>
    <s v="Web"/>
    <n v="16.010000000000002"/>
    <x v="1"/>
  </r>
  <r>
    <x v="1"/>
    <s v="Paypal"/>
    <s v="Web"/>
    <n v="18.88"/>
    <x v="1"/>
  </r>
  <r>
    <x v="1"/>
    <s v="Credit"/>
    <s v="Web"/>
    <n v="19.760000000000002"/>
    <x v="1"/>
  </r>
  <r>
    <x v="1"/>
    <s v="Paypal"/>
    <s v="Web"/>
    <n v="21.29"/>
    <x v="1"/>
  </r>
  <r>
    <x v="1"/>
    <s v="Credit"/>
    <s v="Web"/>
    <n v="24.44"/>
    <x v="1"/>
  </r>
  <r>
    <x v="1"/>
    <s v="Credit"/>
    <s v="Web"/>
    <n v="17.87"/>
    <x v="1"/>
  </r>
  <r>
    <x v="1"/>
    <s v="Paypal"/>
    <s v="Web"/>
    <n v="24.16"/>
    <x v="1"/>
  </r>
  <r>
    <x v="1"/>
    <s v="Credit"/>
    <s v="Email"/>
    <n v="15.18"/>
    <x v="1"/>
  </r>
  <r>
    <x v="1"/>
    <s v="Paypal"/>
    <s v="Web"/>
    <n v="15.62"/>
    <x v="1"/>
  </r>
  <r>
    <x v="2"/>
    <s v="Paypal"/>
    <s v="Email"/>
    <n v="17.16"/>
    <x v="0"/>
  </r>
  <r>
    <x v="2"/>
    <s v="Paypal"/>
    <s v="Web"/>
    <n v="19.29"/>
    <x v="0"/>
  </r>
  <r>
    <x v="2"/>
    <s v="Paypal"/>
    <s v="Email"/>
    <n v="16.09"/>
    <x v="0"/>
  </r>
  <r>
    <x v="2"/>
    <s v="Paypal"/>
    <s v="Web"/>
    <n v="22.88"/>
    <x v="0"/>
  </r>
  <r>
    <x v="2"/>
    <s v="Paypal"/>
    <s v="Email"/>
    <n v="21.64"/>
    <x v="0"/>
  </r>
  <r>
    <x v="2"/>
    <s v="Credit"/>
    <s v="Web"/>
    <n v="18.93"/>
    <x v="0"/>
  </r>
  <r>
    <x v="2"/>
    <s v="Credit"/>
    <s v="Email"/>
    <n v="16.829999999999998"/>
    <x v="0"/>
  </r>
  <r>
    <x v="2"/>
    <s v="Paypal"/>
    <s v="Web"/>
    <n v="15.22"/>
    <x v="0"/>
  </r>
  <r>
    <x v="2"/>
    <s v="Paypal"/>
    <s v="Web"/>
    <n v="22.26"/>
    <x v="0"/>
  </r>
  <r>
    <x v="2"/>
    <s v="Credit"/>
    <s v="Web"/>
    <n v="22.86"/>
    <x v="0"/>
  </r>
  <r>
    <x v="2"/>
    <s v="Paypal"/>
    <s v="Web"/>
    <n v="234.63"/>
    <x v="0"/>
  </r>
  <r>
    <x v="2"/>
    <s v="Paypal"/>
    <s v="Web"/>
    <n v="24.97"/>
    <x v="0"/>
  </r>
  <r>
    <x v="2"/>
    <s v="Paypal"/>
    <s v="Web"/>
    <n v="22.59"/>
    <x v="0"/>
  </r>
  <r>
    <x v="2"/>
    <s v="Paypal"/>
    <s v="Web"/>
    <n v="23.74"/>
    <x v="0"/>
  </r>
  <r>
    <x v="2"/>
    <s v="Credit"/>
    <s v="Web"/>
    <n v="19.440000000000001"/>
    <x v="0"/>
  </r>
  <r>
    <x v="2"/>
    <s v="Paypal"/>
    <s v="Web"/>
    <n v="23.63"/>
    <x v="0"/>
  </r>
  <r>
    <x v="2"/>
    <s v="Credit"/>
    <s v="Web"/>
    <n v="20.399999999999999"/>
    <x v="0"/>
  </r>
  <r>
    <x v="2"/>
    <s v="Credit"/>
    <s v="Email"/>
    <n v="15.34"/>
    <x v="0"/>
  </r>
  <r>
    <x v="2"/>
    <s v="Paypal"/>
    <s v="Web"/>
    <n v="216.2"/>
    <x v="0"/>
  </r>
  <r>
    <x v="2"/>
    <s v="Paypal"/>
    <s v="Web"/>
    <n v="20.440000000000001"/>
    <x v="0"/>
  </r>
  <r>
    <x v="2"/>
    <s v="Credit"/>
    <s v="Web"/>
    <n v="19.899999999999999"/>
    <x v="0"/>
  </r>
  <r>
    <x v="2"/>
    <s v="Paypal"/>
    <s v="Web"/>
    <n v="191.43"/>
    <x v="0"/>
  </r>
  <r>
    <x v="2"/>
    <s v="Credit"/>
    <s v="Web"/>
    <n v="22.65"/>
    <x v="0"/>
  </r>
  <r>
    <x v="2"/>
    <s v="Paypal"/>
    <s v="Email"/>
    <n v="17.510000000000002"/>
    <x v="0"/>
  </r>
  <r>
    <x v="2"/>
    <s v="Credit"/>
    <s v="Web"/>
    <n v="17.190000000000001"/>
    <x v="0"/>
  </r>
  <r>
    <x v="2"/>
    <s v="Credit"/>
    <s v="Email"/>
    <n v="22.11"/>
    <x v="0"/>
  </r>
  <r>
    <x v="2"/>
    <s v="Credit"/>
    <s v="Web"/>
    <n v="20.18"/>
    <x v="0"/>
  </r>
  <r>
    <x v="2"/>
    <s v="Credit"/>
    <s v="Web"/>
    <n v="21.53"/>
    <x v="0"/>
  </r>
  <r>
    <x v="2"/>
    <s v="Credit"/>
    <s v="Web"/>
    <n v="20.16"/>
    <x v="0"/>
  </r>
  <r>
    <x v="2"/>
    <s v="Credit"/>
    <s v="Email"/>
    <n v="22.53"/>
    <x v="0"/>
  </r>
  <r>
    <x v="2"/>
    <s v="Paypal"/>
    <s v="Email"/>
    <n v="23.54"/>
    <x v="0"/>
  </r>
  <r>
    <x v="2"/>
    <s v="Credit"/>
    <s v="Web"/>
    <n v="153.83000000000001"/>
    <x v="0"/>
  </r>
  <r>
    <x v="2"/>
    <s v="Paypal"/>
    <s v="Web"/>
    <n v="21.43"/>
    <x v="0"/>
  </r>
  <r>
    <x v="2"/>
    <s v="Credit"/>
    <s v="Web"/>
    <n v="23.47"/>
    <x v="0"/>
  </r>
  <r>
    <x v="2"/>
    <s v="Credit"/>
    <s v="Web"/>
    <n v="16.66"/>
    <x v="0"/>
  </r>
  <r>
    <x v="2"/>
    <s v="Credit"/>
    <s v="Email"/>
    <n v="21.78"/>
    <x v="0"/>
  </r>
  <r>
    <x v="2"/>
    <s v="Paypal"/>
    <s v="Web"/>
    <n v="160.78"/>
    <x v="0"/>
  </r>
  <r>
    <x v="2"/>
    <s v="Credit"/>
    <s v="Email"/>
    <n v="18.920000000000002"/>
    <x v="0"/>
  </r>
  <r>
    <x v="2"/>
    <s v="Credit"/>
    <s v="Web"/>
    <n v="152.27000000000001"/>
    <x v="0"/>
  </r>
  <r>
    <x v="2"/>
    <s v="Credit"/>
    <s v="Web"/>
    <n v="20.83"/>
    <x v="0"/>
  </r>
  <r>
    <x v="2"/>
    <s v="Paypal"/>
    <s v="Web"/>
    <n v="163.37"/>
    <x v="0"/>
  </r>
  <r>
    <x v="2"/>
    <s v="Paypal"/>
    <s v="Web"/>
    <n v="24.78"/>
    <x v="0"/>
  </r>
  <r>
    <x v="2"/>
    <s v="Paypal"/>
    <s v="Email"/>
    <n v="17.88"/>
    <x v="0"/>
  </r>
  <r>
    <x v="2"/>
    <s v="Credit"/>
    <s v="Web"/>
    <n v="23.98"/>
    <x v="1"/>
  </r>
  <r>
    <x v="2"/>
    <s v="Paypal"/>
    <s v="Web"/>
    <n v="19.54"/>
    <x v="1"/>
  </r>
  <r>
    <x v="2"/>
    <s v="Paypal"/>
    <s v="Email"/>
    <n v="17.95"/>
    <x v="1"/>
  </r>
  <r>
    <x v="2"/>
    <s v="Credit"/>
    <s v="Web"/>
    <n v="18.78"/>
    <x v="1"/>
  </r>
  <r>
    <x v="2"/>
    <s v="Credit"/>
    <s v="Email"/>
    <n v="16.170000000000002"/>
    <x v="1"/>
  </r>
  <r>
    <x v="2"/>
    <s v="Credit"/>
    <s v="Email"/>
    <n v="20.77"/>
    <x v="1"/>
  </r>
  <r>
    <x v="2"/>
    <s v="Credit"/>
    <s v="Email"/>
    <n v="16.98"/>
    <x v="1"/>
  </r>
  <r>
    <x v="2"/>
    <s v="Credit"/>
    <s v="Web"/>
    <n v="19.3"/>
    <x v="1"/>
  </r>
  <r>
    <x v="2"/>
    <s v="Credit"/>
    <s v="Web"/>
    <n v="16.14"/>
    <x v="1"/>
  </r>
  <r>
    <x v="2"/>
    <s v="Paypal"/>
    <s v="Web"/>
    <n v="21.85"/>
    <x v="1"/>
  </r>
  <r>
    <x v="2"/>
    <s v="Paypal"/>
    <s v="Web"/>
    <n v="21.99"/>
    <x v="1"/>
  </r>
  <r>
    <x v="2"/>
    <s v="Credit"/>
    <s v="Web"/>
    <n v="18.73"/>
    <x v="1"/>
  </r>
  <r>
    <x v="2"/>
    <s v="Credit"/>
    <s v="Web"/>
    <n v="23.7"/>
    <x v="1"/>
  </r>
  <r>
    <x v="2"/>
    <s v="Credit"/>
    <s v="Web"/>
    <n v="18"/>
    <x v="1"/>
  </r>
  <r>
    <x v="2"/>
    <s v="Credit"/>
    <s v="Email"/>
    <n v="19.579999999999998"/>
    <x v="1"/>
  </r>
  <r>
    <x v="2"/>
    <s v="Credit"/>
    <s v="Web"/>
    <n v="19.739999999999998"/>
    <x v="1"/>
  </r>
  <r>
    <x v="2"/>
    <s v="Credit"/>
    <s v="Web"/>
    <n v="24.6"/>
    <x v="1"/>
  </r>
  <r>
    <x v="2"/>
    <s v="Paypal"/>
    <s v="Web"/>
    <n v="21.22"/>
    <x v="1"/>
  </r>
  <r>
    <x v="2"/>
    <s v="Paypal"/>
    <s v="Web"/>
    <n v="19.43"/>
    <x v="1"/>
  </r>
  <r>
    <x v="2"/>
    <s v="Credit"/>
    <s v="Email"/>
    <n v="21.43"/>
    <x v="1"/>
  </r>
  <r>
    <x v="2"/>
    <s v="Paypal"/>
    <s v="Web"/>
    <n v="17.87"/>
    <x v="1"/>
  </r>
  <r>
    <x v="2"/>
    <s v="Paypal"/>
    <s v="Email"/>
    <n v="17.829999999999998"/>
    <x v="1"/>
  </r>
  <r>
    <x v="2"/>
    <s v="Paypal"/>
    <s v="Web"/>
    <n v="15.96"/>
    <x v="1"/>
  </r>
  <r>
    <x v="2"/>
    <s v="Credit"/>
    <s v="Email"/>
    <n v="17.41"/>
    <x v="1"/>
  </r>
  <r>
    <x v="2"/>
    <s v="Credit"/>
    <s v="Web"/>
    <n v="16.97"/>
    <x v="1"/>
  </r>
  <r>
    <x v="2"/>
    <s v="Paypal"/>
    <s v="Web"/>
    <n v="24.71"/>
    <x v="1"/>
  </r>
  <r>
    <x v="2"/>
    <s v="Credit"/>
    <s v="Email"/>
    <n v="19.52"/>
    <x v="1"/>
  </r>
  <r>
    <x v="2"/>
    <s v="Credit"/>
    <s v="Email"/>
    <n v="18.809999999999999"/>
    <x v="1"/>
  </r>
  <r>
    <x v="2"/>
    <s v="Paypal"/>
    <s v="Web"/>
    <n v="18.29"/>
    <x v="1"/>
  </r>
  <r>
    <x v="2"/>
    <s v="Paypal"/>
    <s v="Web"/>
    <n v="20.63"/>
    <x v="1"/>
  </r>
  <r>
    <x v="2"/>
    <s v="Credit"/>
    <s v="Web"/>
    <n v="21.75"/>
    <x v="1"/>
  </r>
  <r>
    <x v="2"/>
    <s v="Credit"/>
    <s v="Web"/>
    <n v="19.64"/>
    <x v="1"/>
  </r>
  <r>
    <x v="2"/>
    <s v="Credit"/>
    <s v="Email"/>
    <n v="18.440000000000001"/>
    <x v="1"/>
  </r>
  <r>
    <x v="2"/>
    <s v="Credit"/>
    <s v="Web"/>
    <n v="16.86"/>
    <x v="1"/>
  </r>
  <r>
    <x v="2"/>
    <s v="Credit"/>
    <s v="Web"/>
    <n v="19.97"/>
    <x v="1"/>
  </r>
  <r>
    <x v="2"/>
    <s v="Credit"/>
    <s v="Web"/>
    <n v="24.8"/>
    <x v="1"/>
  </r>
  <r>
    <x v="2"/>
    <s v="Credit"/>
    <s v="Web"/>
    <n v="23.97"/>
    <x v="1"/>
  </r>
  <r>
    <x v="2"/>
    <s v="Credit"/>
    <s v="Web"/>
    <n v="19.96"/>
    <x v="1"/>
  </r>
  <r>
    <x v="2"/>
    <s v="Credit"/>
    <s v="Email"/>
    <n v="23.64"/>
    <x v="1"/>
  </r>
  <r>
    <x v="2"/>
    <s v="Paypal"/>
    <s v="Email"/>
    <n v="23.88"/>
    <x v="1"/>
  </r>
  <r>
    <x v="2"/>
    <s v="Credit"/>
    <s v="Web"/>
    <n v="18.600000000000001"/>
    <x v="1"/>
  </r>
  <r>
    <x v="2"/>
    <s v="Credit"/>
    <s v="Web"/>
    <n v="20.58"/>
    <x v="1"/>
  </r>
  <r>
    <x v="3"/>
    <s v="Credit"/>
    <s v="Web"/>
    <n v="15.33"/>
    <x v="0"/>
  </r>
  <r>
    <x v="3"/>
    <s v="Paypal"/>
    <s v="Email"/>
    <n v="24.45"/>
    <x v="0"/>
  </r>
  <r>
    <x v="3"/>
    <s v="Credit"/>
    <s v="Email"/>
    <n v="18.12"/>
    <x v="0"/>
  </r>
  <r>
    <x v="3"/>
    <s v="Credit"/>
    <s v="Web"/>
    <n v="20.22"/>
    <x v="0"/>
  </r>
  <r>
    <x v="3"/>
    <s v="Paypal"/>
    <s v="Web"/>
    <n v="18.55"/>
    <x v="0"/>
  </r>
  <r>
    <x v="3"/>
    <s v="Paypal"/>
    <s v="Web"/>
    <n v="217"/>
    <x v="0"/>
  </r>
  <r>
    <x v="3"/>
    <s v="Credit"/>
    <s v="Web"/>
    <n v="150.99"/>
    <x v="0"/>
  </r>
  <r>
    <x v="3"/>
    <s v="Paypal"/>
    <s v="Web"/>
    <n v="23.81"/>
    <x v="0"/>
  </r>
  <r>
    <x v="3"/>
    <s v="Credit"/>
    <s v="Web"/>
    <n v="15.87"/>
    <x v="0"/>
  </r>
  <r>
    <x v="3"/>
    <s v="Credit"/>
    <s v="Web"/>
    <n v="21.15"/>
    <x v="0"/>
  </r>
  <r>
    <x v="3"/>
    <s v="Credit"/>
    <s v="Web"/>
    <n v="15.58"/>
    <x v="0"/>
  </r>
  <r>
    <x v="3"/>
    <s v="Credit"/>
    <s v="Email"/>
    <n v="229.73"/>
    <x v="0"/>
  </r>
  <r>
    <x v="3"/>
    <s v="Credit"/>
    <s v="Email"/>
    <n v="17.77"/>
    <x v="0"/>
  </r>
  <r>
    <x v="3"/>
    <s v="Credit"/>
    <s v="Web"/>
    <n v="21.55"/>
    <x v="0"/>
  </r>
  <r>
    <x v="3"/>
    <s v="Credit"/>
    <s v="Email"/>
    <n v="15.33"/>
    <x v="0"/>
  </r>
  <r>
    <x v="3"/>
    <s v="Credit"/>
    <s v="Web"/>
    <n v="19.04"/>
    <x v="0"/>
  </r>
  <r>
    <x v="3"/>
    <s v="Paypal"/>
    <s v="Web"/>
    <n v="15.71"/>
    <x v="0"/>
  </r>
  <r>
    <x v="3"/>
    <s v="Credit"/>
    <s v="Web"/>
    <n v="17.329999999999998"/>
    <x v="0"/>
  </r>
  <r>
    <x v="3"/>
    <s v="Paypal"/>
    <s v="Web"/>
    <n v="15.18"/>
    <x v="0"/>
  </r>
  <r>
    <x v="3"/>
    <s v="Credit"/>
    <s v="Web"/>
    <n v="22.46"/>
    <x v="0"/>
  </r>
  <r>
    <x v="3"/>
    <s v="Credit"/>
    <s v="Web"/>
    <n v="21.5"/>
    <x v="0"/>
  </r>
  <r>
    <x v="3"/>
    <s v="Credit"/>
    <s v="Web"/>
    <n v="19.37"/>
    <x v="0"/>
  </r>
  <r>
    <x v="3"/>
    <s v="Credit"/>
    <s v="Email"/>
    <n v="241.77"/>
    <x v="0"/>
  </r>
  <r>
    <x v="3"/>
    <s v="Credit"/>
    <s v="Web"/>
    <n v="21.88"/>
    <x v="0"/>
  </r>
  <r>
    <x v="3"/>
    <s v="Credit"/>
    <s v="Email"/>
    <n v="24.86"/>
    <x v="0"/>
  </r>
  <r>
    <x v="3"/>
    <s v="Credit"/>
    <s v="Web"/>
    <n v="19.760000000000002"/>
    <x v="0"/>
  </r>
  <r>
    <x v="3"/>
    <s v="Credit"/>
    <s v="Email"/>
    <n v="242.52"/>
    <x v="0"/>
  </r>
  <r>
    <x v="3"/>
    <s v="Paypal"/>
    <s v="Web"/>
    <n v="24.16"/>
    <x v="0"/>
  </r>
  <r>
    <x v="3"/>
    <s v="Paypal"/>
    <s v="Web"/>
    <n v="23.6"/>
    <x v="0"/>
  </r>
  <r>
    <x v="3"/>
    <s v="Credit"/>
    <s v="Web"/>
    <n v="23.2"/>
    <x v="0"/>
  </r>
  <r>
    <x v="3"/>
    <s v="Credit"/>
    <s v="Web"/>
    <n v="157.86000000000001"/>
    <x v="0"/>
  </r>
  <r>
    <x v="3"/>
    <s v="Credit"/>
    <s v="Web"/>
    <n v="22.12"/>
    <x v="0"/>
  </r>
  <r>
    <x v="3"/>
    <s v="Credit"/>
    <s v="Web"/>
    <n v="24.77"/>
    <x v="0"/>
  </r>
  <r>
    <x v="3"/>
    <s v="Credit"/>
    <s v="Web"/>
    <n v="16.899999999999999"/>
    <x v="0"/>
  </r>
  <r>
    <x v="3"/>
    <s v="Paypal"/>
    <s v="Web"/>
    <n v="16.47"/>
    <x v="0"/>
  </r>
  <r>
    <x v="3"/>
    <s v="Paypal"/>
    <s v="Web"/>
    <n v="222.38"/>
    <x v="0"/>
  </r>
  <r>
    <x v="3"/>
    <s v="Paypal"/>
    <s v="Web"/>
    <n v="188.85"/>
    <x v="0"/>
  </r>
  <r>
    <x v="3"/>
    <s v="Credit"/>
    <s v="Web"/>
    <n v="18.57"/>
    <x v="0"/>
  </r>
  <r>
    <x v="3"/>
    <s v="Credit"/>
    <s v="Email"/>
    <n v="19.13"/>
    <x v="0"/>
  </r>
  <r>
    <x v="3"/>
    <s v="Credit"/>
    <s v="Web"/>
    <n v="23.31"/>
    <x v="0"/>
  </r>
  <r>
    <x v="3"/>
    <s v="Credit"/>
    <s v="Email"/>
    <n v="188.16"/>
    <x v="0"/>
  </r>
  <r>
    <x v="3"/>
    <s v="Credit"/>
    <s v="Web"/>
    <n v="246.67"/>
    <x v="0"/>
  </r>
  <r>
    <x v="3"/>
    <s v="Credit"/>
    <s v="Web"/>
    <n v="20.97"/>
    <x v="0"/>
  </r>
  <r>
    <x v="3"/>
    <s v="Credit"/>
    <s v="Email"/>
    <n v="16.52"/>
    <x v="0"/>
  </r>
  <r>
    <x v="3"/>
    <s v="Credit"/>
    <s v="Email"/>
    <n v="22.31"/>
    <x v="0"/>
  </r>
  <r>
    <x v="3"/>
    <s v="Credit"/>
    <s v="Web"/>
    <n v="17.350000000000001"/>
    <x v="0"/>
  </r>
  <r>
    <x v="3"/>
    <s v="Credit"/>
    <s v="Email"/>
    <n v="18.14"/>
    <x v="0"/>
  </r>
  <r>
    <x v="3"/>
    <s v="Credit"/>
    <s v="Email"/>
    <n v="18.25"/>
    <x v="0"/>
  </r>
  <r>
    <x v="3"/>
    <s v="Credit"/>
    <s v="Web"/>
    <n v="203.72"/>
    <x v="0"/>
  </r>
  <r>
    <x v="3"/>
    <s v="Paypal"/>
    <s v="Web"/>
    <n v="19.989999999999998"/>
    <x v="0"/>
  </r>
  <r>
    <x v="3"/>
    <s v="Credit"/>
    <s v="Web"/>
    <n v="197.43"/>
    <x v="0"/>
  </r>
  <r>
    <x v="3"/>
    <s v="Paypal"/>
    <s v="Email"/>
    <n v="21.68"/>
    <x v="0"/>
  </r>
  <r>
    <x v="3"/>
    <s v="Paypal"/>
    <s v="Email"/>
    <n v="15.27"/>
    <x v="0"/>
  </r>
  <r>
    <x v="3"/>
    <s v="Paypal"/>
    <s v="Email"/>
    <n v="19.79"/>
    <x v="0"/>
  </r>
  <r>
    <x v="3"/>
    <s v="Credit"/>
    <s v="Email"/>
    <n v="21.54"/>
    <x v="0"/>
  </r>
  <r>
    <x v="3"/>
    <s v="Paypal"/>
    <s v="Email"/>
    <n v="16.32"/>
    <x v="0"/>
  </r>
  <r>
    <x v="3"/>
    <s v="Paypal"/>
    <s v="Web"/>
    <n v="18.53"/>
    <x v="0"/>
  </r>
  <r>
    <x v="3"/>
    <s v="Credit"/>
    <s v="Web"/>
    <n v="18.399999999999999"/>
    <x v="0"/>
  </r>
  <r>
    <x v="3"/>
    <s v="Credit"/>
    <s v="Email"/>
    <n v="23.06"/>
    <x v="0"/>
  </r>
  <r>
    <x v="3"/>
    <s v="Credit"/>
    <s v="Web"/>
    <n v="231.23"/>
    <x v="0"/>
  </r>
  <r>
    <x v="3"/>
    <s v="Paypal"/>
    <s v="Web"/>
    <n v="20.68"/>
    <x v="0"/>
  </r>
  <r>
    <x v="3"/>
    <s v="Credit"/>
    <s v="Web"/>
    <n v="19.100000000000001"/>
    <x v="0"/>
  </r>
  <r>
    <x v="3"/>
    <s v="Paypal"/>
    <s v="Web"/>
    <n v="23.39"/>
    <x v="1"/>
  </r>
  <r>
    <x v="3"/>
    <s v="Paypal"/>
    <s v="Web"/>
    <n v="19.66"/>
    <x v="1"/>
  </r>
  <r>
    <x v="3"/>
    <s v="Credit"/>
    <s v="Email"/>
    <n v="20.13"/>
    <x v="1"/>
  </r>
  <r>
    <x v="3"/>
    <s v="Credit"/>
    <s v="Web"/>
    <n v="21.94"/>
    <x v="1"/>
  </r>
  <r>
    <x v="3"/>
    <s v="Credit"/>
    <s v="Web"/>
    <n v="22.21"/>
    <x v="1"/>
  </r>
  <r>
    <x v="3"/>
    <s v="Paypal"/>
    <s v="Web"/>
    <n v="22.06"/>
    <x v="1"/>
  </r>
  <r>
    <x v="3"/>
    <s v="Paypal"/>
    <s v="Web"/>
    <n v="20.6"/>
    <x v="1"/>
  </r>
  <r>
    <x v="3"/>
    <s v="Paypal"/>
    <s v="Email"/>
    <n v="19.3"/>
    <x v="1"/>
  </r>
  <r>
    <x v="3"/>
    <s v="Paypal"/>
    <s v="Web"/>
    <n v="22.37"/>
    <x v="1"/>
  </r>
  <r>
    <x v="3"/>
    <s v="Credit"/>
    <s v="Email"/>
    <n v="22.17"/>
    <x v="1"/>
  </r>
  <r>
    <x v="3"/>
    <s v="Credit"/>
    <s v="Web"/>
    <n v="17.7"/>
    <x v="1"/>
  </r>
  <r>
    <x v="3"/>
    <s v="Paypal"/>
    <s v="Web"/>
    <n v="16.32"/>
    <x v="1"/>
  </r>
  <r>
    <x v="3"/>
    <s v="Credit"/>
    <s v="Web"/>
    <n v="17.27"/>
    <x v="1"/>
  </r>
  <r>
    <x v="3"/>
    <s v="Credit"/>
    <s v="Web"/>
    <n v="18.75"/>
    <x v="1"/>
  </r>
  <r>
    <x v="3"/>
    <s v="Paypal"/>
    <s v="Web"/>
    <n v="20.87"/>
    <x v="1"/>
  </r>
  <r>
    <x v="3"/>
    <s v="Paypal"/>
    <s v="Web"/>
    <n v="19.690000000000001"/>
    <x v="1"/>
  </r>
  <r>
    <x v="3"/>
    <s v="Credit"/>
    <s v="Email"/>
    <n v="21.92"/>
    <x v="1"/>
  </r>
  <r>
    <x v="3"/>
    <s v="Paypal"/>
    <s v="Web"/>
    <n v="24.52"/>
    <x v="1"/>
  </r>
  <r>
    <x v="3"/>
    <s v="Credit"/>
    <s v="Web"/>
    <n v="15.35"/>
    <x v="1"/>
  </r>
  <r>
    <x v="3"/>
    <s v="Credit"/>
    <s v="Web"/>
    <n v="23.91"/>
    <x v="1"/>
  </r>
  <r>
    <x v="3"/>
    <s v="Paypal"/>
    <s v="Email"/>
    <n v="20.329999999999998"/>
    <x v="1"/>
  </r>
  <r>
    <x v="3"/>
    <s v="Paypal"/>
    <s v="Web"/>
    <n v="21.36"/>
    <x v="1"/>
  </r>
  <r>
    <x v="3"/>
    <s v="Credit"/>
    <s v="Email"/>
    <n v="21.58"/>
    <x v="1"/>
  </r>
  <r>
    <x v="3"/>
    <s v="Paypal"/>
    <s v="Web"/>
    <n v="23.29"/>
    <x v="1"/>
  </r>
  <r>
    <x v="3"/>
    <s v="Credit"/>
    <s v="Web"/>
    <n v="19.809999999999999"/>
    <x v="1"/>
  </r>
  <r>
    <x v="3"/>
    <s v="Paypal"/>
    <s v="Email"/>
    <n v="23.45"/>
    <x v="1"/>
  </r>
  <r>
    <x v="3"/>
    <s v="Paypal"/>
    <s v="Web"/>
    <n v="15.77"/>
    <x v="1"/>
  </r>
  <r>
    <x v="3"/>
    <s v="Paypal"/>
    <s v="Web"/>
    <n v="15.71"/>
    <x v="1"/>
  </r>
  <r>
    <x v="3"/>
    <s v="Paypal"/>
    <s v="Email"/>
    <n v="16.34"/>
    <x v="1"/>
  </r>
  <r>
    <x v="3"/>
    <s v="Credit"/>
    <s v="Web"/>
    <n v="16.82"/>
    <x v="1"/>
  </r>
  <r>
    <x v="3"/>
    <s v="Credit"/>
    <s v="Web"/>
    <n v="15.2"/>
    <x v="1"/>
  </r>
  <r>
    <x v="3"/>
    <s v="Credit"/>
    <s v="Web"/>
    <n v="21.81"/>
    <x v="1"/>
  </r>
  <r>
    <x v="3"/>
    <s v="Paypal"/>
    <s v="Email"/>
    <n v="18.25"/>
    <x v="1"/>
  </r>
  <r>
    <x v="3"/>
    <s v="Paypal"/>
    <s v="Web"/>
    <n v="21.2"/>
    <x v="1"/>
  </r>
  <r>
    <x v="3"/>
    <s v="Paypal"/>
    <s v="Web"/>
    <n v="19.02"/>
    <x v="1"/>
  </r>
  <r>
    <x v="3"/>
    <s v="Credit"/>
    <s v="Web"/>
    <n v="16.73"/>
    <x v="1"/>
  </r>
  <r>
    <x v="3"/>
    <s v="Credit"/>
    <s v="Email"/>
    <n v="22.05"/>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557E38B-B52D-438E-8992-DED46D1028AD}" name="PivotTable22" cacheId="48" applyNumberFormats="0" applyBorderFormats="0" applyFontFormats="0" applyPatternFormats="0" applyAlignmentFormats="0" applyWidthHeightFormats="1" dataCaption="Values" updatedVersion="8" minRefreshableVersion="3" useAutoFormatting="1" itemPrintTitles="1" createdVersion="8" indent="0" multipleFieldFilters="0" chartFormat="3">
  <location ref="F30:S44" firstHeaderRow="1" firstDataRow="2" firstDataCol="1"/>
  <pivotFields count="3">
    <pivotField axis="axisRow" showAll="0">
      <items count="13">
        <item x="4"/>
        <item x="3"/>
        <item x="7"/>
        <item x="0"/>
        <item x="8"/>
        <item x="6"/>
        <item x="5"/>
        <item x="1"/>
        <item x="11"/>
        <item x="10"/>
        <item x="9"/>
        <item x="2"/>
        <item t="default"/>
      </items>
    </pivotField>
    <pivotField axis="axisCol" showAll="0">
      <items count="13">
        <item x="0"/>
        <item x="1"/>
        <item x="2"/>
        <item x="3"/>
        <item x="4"/>
        <item x="5"/>
        <item x="6"/>
        <item x="7"/>
        <item x="8"/>
        <item x="9"/>
        <item x="10"/>
        <item x="11"/>
        <item t="default"/>
      </items>
    </pivotField>
    <pivotField dataField="1" showAll="0"/>
  </pivotFields>
  <rowFields count="1">
    <field x="0"/>
  </rowFields>
  <rowItems count="13">
    <i>
      <x/>
    </i>
    <i>
      <x v="1"/>
    </i>
    <i>
      <x v="2"/>
    </i>
    <i>
      <x v="3"/>
    </i>
    <i>
      <x v="4"/>
    </i>
    <i>
      <x v="5"/>
    </i>
    <i>
      <x v="6"/>
    </i>
    <i>
      <x v="7"/>
    </i>
    <i>
      <x v="8"/>
    </i>
    <i>
      <x v="9"/>
    </i>
    <i>
      <x v="10"/>
    </i>
    <i>
      <x v="11"/>
    </i>
    <i t="grand">
      <x/>
    </i>
  </rowItems>
  <colFields count="1">
    <field x="1"/>
  </colFields>
  <colItems count="13">
    <i>
      <x/>
    </i>
    <i>
      <x v="1"/>
    </i>
    <i>
      <x v="2"/>
    </i>
    <i>
      <x v="3"/>
    </i>
    <i>
      <x v="4"/>
    </i>
    <i>
      <x v="5"/>
    </i>
    <i>
      <x v="6"/>
    </i>
    <i>
      <x v="7"/>
    </i>
    <i>
      <x v="8"/>
    </i>
    <i>
      <x v="9"/>
    </i>
    <i>
      <x v="10"/>
    </i>
    <i>
      <x v="11"/>
    </i>
    <i t="grand">
      <x/>
    </i>
  </colItems>
  <dataFields count="1">
    <dataField name="Max of Temperature" fld="2" subtotal="max" baseField="0" baseItem="0"/>
  </dataFields>
  <chartFormats count="12">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 chart="0" format="5" series="1">
      <pivotArea type="data" outline="0" fieldPosition="0">
        <references count="2">
          <reference field="4294967294" count="1" selected="0">
            <x v="0"/>
          </reference>
          <reference field="1" count="1" selected="0">
            <x v="5"/>
          </reference>
        </references>
      </pivotArea>
    </chartFormat>
    <chartFormat chart="0" format="6" series="1">
      <pivotArea type="data" outline="0" fieldPosition="0">
        <references count="2">
          <reference field="4294967294" count="1" selected="0">
            <x v="0"/>
          </reference>
          <reference field="1" count="1" selected="0">
            <x v="6"/>
          </reference>
        </references>
      </pivotArea>
    </chartFormat>
    <chartFormat chart="0" format="7" series="1">
      <pivotArea type="data" outline="0" fieldPosition="0">
        <references count="2">
          <reference field="4294967294" count="1" selected="0">
            <x v="0"/>
          </reference>
          <reference field="1" count="1" selected="0">
            <x v="7"/>
          </reference>
        </references>
      </pivotArea>
    </chartFormat>
    <chartFormat chart="0" format="8" series="1">
      <pivotArea type="data" outline="0" fieldPosition="0">
        <references count="2">
          <reference field="4294967294" count="1" selected="0">
            <x v="0"/>
          </reference>
          <reference field="1" count="1" selected="0">
            <x v="8"/>
          </reference>
        </references>
      </pivotArea>
    </chartFormat>
    <chartFormat chart="0" format="9" series="1">
      <pivotArea type="data" outline="0" fieldPosition="0">
        <references count="2">
          <reference field="4294967294" count="1" selected="0">
            <x v="0"/>
          </reference>
          <reference field="1" count="1" selected="0">
            <x v="9"/>
          </reference>
        </references>
      </pivotArea>
    </chartFormat>
    <chartFormat chart="0" format="10" series="1">
      <pivotArea type="data" outline="0" fieldPosition="0">
        <references count="2">
          <reference field="4294967294" count="1" selected="0">
            <x v="0"/>
          </reference>
          <reference field="1" count="1" selected="0">
            <x v="10"/>
          </reference>
        </references>
      </pivotArea>
    </chartFormat>
    <chartFormat chart="0" format="11" series="1">
      <pivotArea type="data" outline="0" fieldPosition="0">
        <references count="2">
          <reference field="4294967294" count="1" selected="0">
            <x v="0"/>
          </reference>
          <reference field="1"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8E22825-2969-4D36-9299-2ABC7B2A6978}" name="PivotTable21" cacheId="48" applyNumberFormats="0" applyBorderFormats="0" applyFontFormats="0" applyPatternFormats="0" applyAlignmentFormats="0" applyWidthHeightFormats="1" dataCaption="Values" updatedVersion="8" minRefreshableVersion="3" useAutoFormatting="1" itemPrintTitles="1" createdVersion="8" indent="0" multipleFieldFilters="0" chartFormat="8">
  <location ref="F14:S28" firstHeaderRow="1" firstDataRow="2" firstDataCol="1"/>
  <pivotFields count="3">
    <pivotField axis="axisRow" showAll="0">
      <items count="13">
        <item x="4"/>
        <item x="3"/>
        <item x="7"/>
        <item x="0"/>
        <item x="8"/>
        <item x="6"/>
        <item x="5"/>
        <item x="1"/>
        <item x="11"/>
        <item x="10"/>
        <item x="9"/>
        <item x="2"/>
        <item t="default"/>
      </items>
    </pivotField>
    <pivotField axis="axisCol" showAll="0">
      <items count="13">
        <item x="0"/>
        <item x="1"/>
        <item x="2"/>
        <item x="3"/>
        <item x="4"/>
        <item x="5"/>
        <item x="6"/>
        <item x="7"/>
        <item x="8"/>
        <item x="9"/>
        <item x="10"/>
        <item x="11"/>
        <item t="default"/>
      </items>
    </pivotField>
    <pivotField dataField="1" showAll="0"/>
  </pivotFields>
  <rowFields count="1">
    <field x="0"/>
  </rowFields>
  <rowItems count="13">
    <i>
      <x/>
    </i>
    <i>
      <x v="1"/>
    </i>
    <i>
      <x v="2"/>
    </i>
    <i>
      <x v="3"/>
    </i>
    <i>
      <x v="4"/>
    </i>
    <i>
      <x v="5"/>
    </i>
    <i>
      <x v="6"/>
    </i>
    <i>
      <x v="7"/>
    </i>
    <i>
      <x v="8"/>
    </i>
    <i>
      <x v="9"/>
    </i>
    <i>
      <x v="10"/>
    </i>
    <i>
      <x v="11"/>
    </i>
    <i t="grand">
      <x/>
    </i>
  </rowItems>
  <colFields count="1">
    <field x="1"/>
  </colFields>
  <colItems count="13">
    <i>
      <x/>
    </i>
    <i>
      <x v="1"/>
    </i>
    <i>
      <x v="2"/>
    </i>
    <i>
      <x v="3"/>
    </i>
    <i>
      <x v="4"/>
    </i>
    <i>
      <x v="5"/>
    </i>
    <i>
      <x v="6"/>
    </i>
    <i>
      <x v="7"/>
    </i>
    <i>
      <x v="8"/>
    </i>
    <i>
      <x v="9"/>
    </i>
    <i>
      <x v="10"/>
    </i>
    <i>
      <x v="11"/>
    </i>
    <i t="grand">
      <x/>
    </i>
  </colItems>
  <dataFields count="1">
    <dataField name="Average of Temperature" fld="2" subtotal="average" baseField="0" baseItem="0" numFmtId="2"/>
  </dataFields>
  <chartFormats count="12">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 chart="0" format="5" series="1">
      <pivotArea type="data" outline="0" fieldPosition="0">
        <references count="2">
          <reference field="4294967294" count="1" selected="0">
            <x v="0"/>
          </reference>
          <reference field="1" count="1" selected="0">
            <x v="5"/>
          </reference>
        </references>
      </pivotArea>
    </chartFormat>
    <chartFormat chart="0" format="6" series="1">
      <pivotArea type="data" outline="0" fieldPosition="0">
        <references count="2">
          <reference field="4294967294" count="1" selected="0">
            <x v="0"/>
          </reference>
          <reference field="1" count="1" selected="0">
            <x v="6"/>
          </reference>
        </references>
      </pivotArea>
    </chartFormat>
    <chartFormat chart="0" format="7" series="1">
      <pivotArea type="data" outline="0" fieldPosition="0">
        <references count="2">
          <reference field="4294967294" count="1" selected="0">
            <x v="0"/>
          </reference>
          <reference field="1" count="1" selected="0">
            <x v="7"/>
          </reference>
        </references>
      </pivotArea>
    </chartFormat>
    <chartFormat chart="0" format="8" series="1">
      <pivotArea type="data" outline="0" fieldPosition="0">
        <references count="2">
          <reference field="4294967294" count="1" selected="0">
            <x v="0"/>
          </reference>
          <reference field="1" count="1" selected="0">
            <x v="8"/>
          </reference>
        </references>
      </pivotArea>
    </chartFormat>
    <chartFormat chart="0" format="9" series="1">
      <pivotArea type="data" outline="0" fieldPosition="0">
        <references count="2">
          <reference field="4294967294" count="1" selected="0">
            <x v="0"/>
          </reference>
          <reference field="1" count="1" selected="0">
            <x v="9"/>
          </reference>
        </references>
      </pivotArea>
    </chartFormat>
    <chartFormat chart="0" format="10" series="1">
      <pivotArea type="data" outline="0" fieldPosition="0">
        <references count="2">
          <reference field="4294967294" count="1" selected="0">
            <x v="0"/>
          </reference>
          <reference field="1" count="1" selected="0">
            <x v="10"/>
          </reference>
        </references>
      </pivotArea>
    </chartFormat>
    <chartFormat chart="0" format="11" series="1">
      <pivotArea type="data" outline="0" fieldPosition="0">
        <references count="2">
          <reference field="4294967294" count="1" selected="0">
            <x v="0"/>
          </reference>
          <reference field="1"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872E557-FED2-44A2-ACA4-54EE3703AC26}" name="PivotTable25" cacheId="74" applyNumberFormats="0" applyBorderFormats="0" applyFontFormats="0" applyPatternFormats="0" applyAlignmentFormats="0" applyWidthHeightFormats="1" dataCaption="Values" updatedVersion="8" minRefreshableVersion="3" useAutoFormatting="1" itemPrintTitles="1" createdVersion="8" indent="0" multipleFieldFilters="0" chartFormat="2">
  <location ref="G37:J43" firstHeaderRow="1" firstDataRow="2" firstDataCol="1"/>
  <pivotFields count="5">
    <pivotField axis="axisRow" showAll="0">
      <items count="5">
        <item x="0"/>
        <item x="2"/>
        <item x="3"/>
        <item x="1"/>
        <item t="default"/>
      </items>
    </pivotField>
    <pivotField showAll="0"/>
    <pivotField showAll="0"/>
    <pivotField dataField="1" showAll="0"/>
    <pivotField axis="axisCol" showAll="0">
      <items count="3">
        <item x="0"/>
        <item x="1"/>
        <item t="default"/>
      </items>
    </pivotField>
  </pivotFields>
  <rowFields count="1">
    <field x="0"/>
  </rowFields>
  <rowItems count="5">
    <i>
      <x/>
    </i>
    <i>
      <x v="1"/>
    </i>
    <i>
      <x v="2"/>
    </i>
    <i>
      <x v="3"/>
    </i>
    <i t="grand">
      <x/>
    </i>
  </rowItems>
  <colFields count="1">
    <field x="4"/>
  </colFields>
  <colItems count="3">
    <i>
      <x/>
    </i>
    <i>
      <x v="1"/>
    </i>
    <i t="grand">
      <x/>
    </i>
  </colItems>
  <dataFields count="1">
    <dataField name="Average of Amount" fld="3" subtotal="average" baseField="0" baseItem="0"/>
  </dataFields>
  <chartFormats count="4">
    <chartFormat chart="0" format="0" series="1">
      <pivotArea type="data" outline="0" fieldPosition="0">
        <references count="1">
          <reference field="4" count="1" selected="0">
            <x v="0"/>
          </reference>
        </references>
      </pivotArea>
    </chartFormat>
    <chartFormat chart="0" format="1" series="1">
      <pivotArea type="data" outline="0" fieldPosition="0">
        <references count="1">
          <reference field="4" count="1" selected="0">
            <x v="1"/>
          </reference>
        </references>
      </pivotArea>
    </chartFormat>
    <chartFormat chart="0" format="2" series="1">
      <pivotArea type="data" outline="0" fieldPosition="0">
        <references count="2">
          <reference field="4294967294" count="1" selected="0">
            <x v="0"/>
          </reference>
          <reference field="4" count="1" selected="0">
            <x v="0"/>
          </reference>
        </references>
      </pivotArea>
    </chartFormat>
    <chartFormat chart="0" format="3" series="1">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2890D8D-F7CF-462B-9B41-BE8EF0DB0298}" name="PivotTable24" cacheId="74" applyNumberFormats="0" applyBorderFormats="0" applyFontFormats="0" applyPatternFormats="0" applyAlignmentFormats="0" applyWidthHeightFormats="1" dataCaption="Values" updatedVersion="8" minRefreshableVersion="3" useAutoFormatting="1" itemPrintTitles="1" createdVersion="8" indent="0" multipleFieldFilters="0" chartFormat="2">
  <location ref="G16:J22" firstHeaderRow="1" firstDataRow="2" firstDataCol="1"/>
  <pivotFields count="5">
    <pivotField axis="axisRow" showAll="0">
      <items count="5">
        <item x="0"/>
        <item x="2"/>
        <item x="3"/>
        <item x="1"/>
        <item t="default"/>
      </items>
    </pivotField>
    <pivotField showAll="0"/>
    <pivotField showAll="0"/>
    <pivotField dataField="1" showAll="0"/>
    <pivotField axis="axisCol" showAll="0">
      <items count="3">
        <item x="0"/>
        <item x="1"/>
        <item t="default"/>
      </items>
    </pivotField>
  </pivotFields>
  <rowFields count="1">
    <field x="0"/>
  </rowFields>
  <rowItems count="5">
    <i>
      <x/>
    </i>
    <i>
      <x v="1"/>
    </i>
    <i>
      <x v="2"/>
    </i>
    <i>
      <x v="3"/>
    </i>
    <i t="grand">
      <x/>
    </i>
  </rowItems>
  <colFields count="1">
    <field x="4"/>
  </colFields>
  <colItems count="3">
    <i>
      <x/>
    </i>
    <i>
      <x v="1"/>
    </i>
    <i t="grand">
      <x/>
    </i>
  </colItems>
  <dataFields count="1">
    <dataField name="Count of Amount" fld="3" subtotal="count" baseField="0" baseItem="0"/>
  </dataFields>
  <chartFormats count="4">
    <chartFormat chart="0" format="0" series="1">
      <pivotArea type="data" outline="0" fieldPosition="0">
        <references count="1">
          <reference field="4" count="1" selected="0">
            <x v="0"/>
          </reference>
        </references>
      </pivotArea>
    </chartFormat>
    <chartFormat chart="0" format="1" series="1">
      <pivotArea type="data" outline="0" fieldPosition="0">
        <references count="1">
          <reference field="4" count="1" selected="0">
            <x v="1"/>
          </reference>
        </references>
      </pivotArea>
    </chartFormat>
    <chartFormat chart="0" format="2" series="1">
      <pivotArea type="data" outline="0" fieldPosition="0">
        <references count="2">
          <reference field="4294967294" count="1" selected="0">
            <x v="0"/>
          </reference>
          <reference field="4" count="1" selected="0">
            <x v="0"/>
          </reference>
        </references>
      </pivotArea>
    </chartFormat>
    <chartFormat chart="0" format="3" series="1">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B95506E-7DD4-4E79-8F01-79ED8BC56703}" name="Table1" displayName="Table1" ref="B13:D154" totalsRowShown="0" headerRowDxfId="31" dataDxfId="30">
  <autoFilter ref="B13:D154" xr:uid="{EB95506E-7DD4-4E79-8F01-79ED8BC56703}"/>
  <sortState xmlns:xlrd2="http://schemas.microsoft.com/office/spreadsheetml/2017/richdata2" ref="B14:D154">
    <sortCondition ref="B13:B154"/>
  </sortState>
  <tableColumns count="3">
    <tableColumn id="1" xr3:uid="{0D217B28-94A5-4A4A-842D-C4C39874BEEF}" name="Month" dataDxfId="34"/>
    <tableColumn id="2" xr3:uid="{D52F01BF-BC7A-4EFE-B308-7E7EDACA1878}" name="Year" dataDxfId="33"/>
    <tableColumn id="3" xr3:uid="{7120AB1B-1F42-4385-8997-C7ADBF0BB71A}" name="Temperature" dataDxfId="32"/>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D7794BB-C61F-4190-AA90-FF45E07794DB}" name="Table2" displayName="Table2" ref="F13:G25" totalsRowShown="0" headerRowDxfId="27" dataDxfId="26">
  <autoFilter ref="F13:G25" xr:uid="{3D7794BB-C61F-4190-AA90-FF45E07794DB}"/>
  <tableColumns count="2">
    <tableColumn id="1" xr3:uid="{31601DF3-55A4-4F66-9871-DB4B975F1F2A}" name="Month" dataDxfId="29"/>
    <tableColumn id="2" xr3:uid="{5B4D7D61-A9D5-4C96-A980-E205608A210B}" name="Monthly Avg Temp" dataDxfId="28">
      <calculatedColumnFormula>AVERAGEIF(Table1[Month],Table2[[#This Row],[Month]],Table1[Temperature])</calculatedColumnFormula>
    </tableColumn>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355B6F5-185D-449C-9B74-7547567E80C7}" name="Table14" displayName="Table14" ref="B13:D154" totalsRowShown="0" headerRowDxfId="25" dataDxfId="24">
  <autoFilter ref="B13:D154" xr:uid="{5355B6F5-185D-449C-9B74-7547567E80C7}"/>
  <sortState xmlns:xlrd2="http://schemas.microsoft.com/office/spreadsheetml/2017/richdata2" ref="B14:D154">
    <sortCondition ref="B13:B154"/>
  </sortState>
  <tableColumns count="3">
    <tableColumn id="1" xr3:uid="{233B1B5D-D5E0-4586-9D08-9BD9FEEDE408}" name="Month" dataDxfId="23"/>
    <tableColumn id="2" xr3:uid="{E9D0B157-892C-4E44-9CD5-75E9C00E2EE4}" name="Year" dataDxfId="22"/>
    <tableColumn id="3" xr3:uid="{13BB1820-E152-4B39-A935-5CA011CCCD59}" name="Temperature" dataDxfId="21"/>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26D1529-854E-4D37-9B4F-292A71FE0BF1}" name="Table25" displayName="Table25" ref="F13:G25" totalsRowShown="0" headerRowDxfId="20" dataDxfId="19">
  <autoFilter ref="F13:G25" xr:uid="{626D1529-854E-4D37-9B4F-292A71FE0BF1}"/>
  <tableColumns count="2">
    <tableColumn id="1" xr3:uid="{8D3B2D9D-F8AB-4C58-9345-9D43449F4A2D}" name="Year" dataDxfId="18"/>
    <tableColumn id="2" xr3:uid="{2E048AD7-C34D-4585-85A5-566795D70BC4}" name="Yearly Avg Temp" dataDxfId="17">
      <calculatedColumnFormula>AVERAGEIF(Table14[Year],Table25[[#This Row],[Year]],Table1[Temperature])</calculatedColumnFormula>
    </tableColumn>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5247AA1-2DC7-49DC-846A-0C64876DC307}" name="Table146" displayName="Table146" ref="B14:D155" totalsRowShown="0" headerRowDxfId="16" dataDxfId="15">
  <autoFilter ref="B14:D155" xr:uid="{E5247AA1-2DC7-49DC-846A-0C64876DC307}"/>
  <sortState xmlns:xlrd2="http://schemas.microsoft.com/office/spreadsheetml/2017/richdata2" ref="B15:D155">
    <sortCondition ref="C14:C155"/>
  </sortState>
  <tableColumns count="3">
    <tableColumn id="1" xr3:uid="{D2F53B11-5975-448D-A203-D846ABEE8B34}" name="Month" dataDxfId="14"/>
    <tableColumn id="2" xr3:uid="{8052015F-444C-417F-9446-1253DBE0979E}" name="Year" dataDxfId="13"/>
    <tableColumn id="3" xr3:uid="{9F13768D-7C08-49E9-980E-EAA320916A5C}" name="Temperature" dataDxfId="12"/>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A7BC8E68-39A7-4829-BD6E-DB773F058C34}" name="Table18" displayName="Table18" ref="B14:D155" totalsRowShown="0" headerRowDxfId="11" dataDxfId="10">
  <autoFilter ref="B14:D155" xr:uid="{A7BC8E68-39A7-4829-BD6E-DB773F058C34}"/>
  <tableColumns count="3">
    <tableColumn id="1" xr3:uid="{E01401D1-9763-447A-A175-8BC9D826F172}" name="Month" dataDxfId="9"/>
    <tableColumn id="2" xr3:uid="{28444729-3E31-4DAE-BDF9-6A0D64C4EFFD}" name="Year" dataDxfId="8"/>
    <tableColumn id="3" xr3:uid="{CDCA3B08-5B87-4780-A280-BAF66FCA8E0C}" name="Temperature" dataDxfId="7"/>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A33F2C1-88E9-4313-ABF9-EEFF3B8F99C6}" name="Table10" displayName="Table10" ref="A6:E478" totalsRowShown="0" headerRowDxfId="1" dataDxfId="0">
  <autoFilter ref="A6:E478" xr:uid="{EA33F2C1-88E9-4313-ABF9-EEFF3B8F99C6}"/>
  <tableColumns count="5">
    <tableColumn id="1" xr3:uid="{C29DD625-134B-4266-AE56-532E8D900A98}" name="Region" dataDxfId="6"/>
    <tableColumn id="2" xr3:uid="{26D84254-5E90-4208-98DC-473E57279F61}" name="Payment " dataDxfId="5"/>
    <tableColumn id="3" xr3:uid="{D9642985-146F-4A4E-A45C-56071C8E541F}" name="Source" dataDxfId="4"/>
    <tableColumn id="4" xr3:uid="{62911B7C-705A-43AA-A37E-6AD1AC8C78A4}" name="Amount" dataDxfId="3"/>
    <tableColumn id="5" xr3:uid="{20A7FBE3-8E5E-484D-AFB9-FB02001795BD}" name="Product" dataDxfId="2"/>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87C1297D-6DD9-41D4-9625-109DADE2701B}" name="Table11" displayName="Table11" ref="A3:C97" totalsRowShown="0">
  <autoFilter ref="A3:C97" xr:uid="{87C1297D-6DD9-41D4-9625-109DADE2701B}"/>
  <tableColumns count="3">
    <tableColumn id="1" xr3:uid="{19A359B9-28F3-4B2E-B7B2-DE2C562B17B2}" name="Supplier "/>
    <tableColumn id="2" xr3:uid="{56D7A692-A423-4631-B520-AEA4E90DCBED}" name="Item Description"/>
    <tableColumn id="3" xr3:uid="{C3E7328E-9B00-4BE7-A264-2D1EB4D0732F}" name="Cost per ord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table" Target="../tables/table6.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openxmlformats.org/officeDocument/2006/relationships/table" Target="../tables/table7.xml"/></Relationships>
</file>

<file path=xl/worksheets/_rels/sheet7.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144"/>
  <sheetViews>
    <sheetView tabSelected="1" workbookViewId="0"/>
  </sheetViews>
  <sheetFormatPr defaultColWidth="8.7109375" defaultRowHeight="12.75" x14ac:dyDescent="0.2"/>
  <cols>
    <col min="1" max="1" width="10" bestFit="1" customWidth="1"/>
    <col min="2" max="2" width="5.28515625" bestFit="1" customWidth="1"/>
    <col min="3" max="3" width="13.85546875" style="36" bestFit="1" customWidth="1"/>
    <col min="6" max="6" width="7.7109375" style="1" customWidth="1"/>
    <col min="7" max="7" width="16.28515625" style="1" customWidth="1"/>
    <col min="8" max="8" width="11.42578125" customWidth="1"/>
    <col min="9" max="18" width="5" customWidth="1"/>
    <col min="19" max="19" width="11.28515625" bestFit="1" customWidth="1"/>
  </cols>
  <sheetData>
    <row r="1" spans="1:37" x14ac:dyDescent="0.2">
      <c r="A1" s="1" t="s">
        <v>15</v>
      </c>
    </row>
    <row r="2" spans="1:37" ht="13.5" thickBot="1" x14ac:dyDescent="0.25">
      <c r="A2" s="1"/>
    </row>
    <row r="3" spans="1:37" s="1" customFormat="1" ht="19.5" thickBot="1" x14ac:dyDescent="0.35">
      <c r="A3" s="35" t="s">
        <v>14</v>
      </c>
      <c r="B3" s="35" t="s">
        <v>0</v>
      </c>
      <c r="C3" s="35" t="s">
        <v>1</v>
      </c>
      <c r="G3" s="12" t="s">
        <v>69</v>
      </c>
      <c r="H3" s="13"/>
      <c r="I3" s="13"/>
      <c r="J3" s="13"/>
      <c r="K3" s="13"/>
      <c r="L3" s="13"/>
      <c r="M3" s="13"/>
      <c r="N3" s="13"/>
      <c r="O3" s="13"/>
      <c r="P3" s="13"/>
      <c r="Q3" s="13"/>
      <c r="R3" s="13"/>
      <c r="S3" s="13"/>
      <c r="T3" s="13"/>
      <c r="U3" s="13"/>
      <c r="V3" s="13"/>
      <c r="W3" s="13"/>
      <c r="X3" s="13"/>
      <c r="Y3" s="13"/>
      <c r="Z3" s="13"/>
      <c r="AA3" s="14"/>
    </row>
    <row r="4" spans="1:37" ht="13.5" thickBot="1" x14ac:dyDescent="0.25">
      <c r="A4" s="7" t="s">
        <v>2</v>
      </c>
      <c r="B4" s="7">
        <v>1990</v>
      </c>
      <c r="C4" s="37">
        <v>40.799999999999997</v>
      </c>
    </row>
    <row r="5" spans="1:37" ht="15.75" x14ac:dyDescent="0.25">
      <c r="A5" s="7" t="s">
        <v>3</v>
      </c>
      <c r="B5" s="7">
        <v>1990</v>
      </c>
      <c r="C5" s="37">
        <v>42.2</v>
      </c>
      <c r="F5" s="27" t="s">
        <v>37</v>
      </c>
      <c r="G5" s="28" t="s">
        <v>18</v>
      </c>
      <c r="H5" s="19"/>
      <c r="I5" s="19"/>
      <c r="J5" s="19"/>
      <c r="K5" s="19"/>
      <c r="L5" s="19"/>
      <c r="M5" s="19"/>
      <c r="N5" s="19"/>
      <c r="O5" s="19"/>
      <c r="P5" s="19"/>
      <c r="Q5" s="19"/>
      <c r="R5" s="19"/>
      <c r="S5" s="19"/>
      <c r="T5" s="19"/>
      <c r="U5" s="19"/>
      <c r="V5" s="19"/>
      <c r="W5" s="19"/>
      <c r="X5" s="19"/>
      <c r="Y5" s="19"/>
      <c r="Z5" s="19"/>
      <c r="AA5" s="19"/>
      <c r="AB5" s="19"/>
      <c r="AC5" s="19"/>
      <c r="AD5" s="19"/>
      <c r="AE5" s="19"/>
      <c r="AF5" s="19"/>
      <c r="AG5" s="19"/>
      <c r="AH5" s="19"/>
      <c r="AI5" s="19"/>
      <c r="AJ5" s="19"/>
      <c r="AK5" s="20"/>
    </row>
    <row r="6" spans="1:37" ht="15.75" x14ac:dyDescent="0.25">
      <c r="A6" s="7" t="s">
        <v>4</v>
      </c>
      <c r="B6" s="7">
        <v>1990</v>
      </c>
      <c r="C6" s="37">
        <v>48.1</v>
      </c>
      <c r="E6" s="1"/>
      <c r="F6" s="29" t="s">
        <v>38</v>
      </c>
      <c r="G6" s="30" t="s">
        <v>19</v>
      </c>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2"/>
    </row>
    <row r="7" spans="1:37" ht="15.75" x14ac:dyDescent="0.25">
      <c r="A7" s="7" t="s">
        <v>5</v>
      </c>
      <c r="B7" s="7">
        <v>1990</v>
      </c>
      <c r="C7" s="37">
        <v>54.3</v>
      </c>
      <c r="E7" s="1"/>
      <c r="F7" s="29" t="s">
        <v>39</v>
      </c>
      <c r="G7" s="30" t="s">
        <v>20</v>
      </c>
      <c r="H7" s="21"/>
      <c r="I7" s="21"/>
      <c r="J7" s="21"/>
      <c r="K7" s="21"/>
      <c r="L7" s="21"/>
      <c r="M7" s="21"/>
      <c r="N7" s="21"/>
      <c r="O7" s="21"/>
      <c r="P7" s="21"/>
      <c r="Q7" s="21"/>
      <c r="R7" s="21"/>
      <c r="S7" s="21"/>
      <c r="T7" s="21"/>
      <c r="U7" s="21"/>
      <c r="V7" s="21"/>
      <c r="W7" s="21"/>
      <c r="X7" s="21"/>
      <c r="Y7" s="21"/>
      <c r="Z7" s="21"/>
      <c r="AA7" s="21"/>
      <c r="AB7" s="21"/>
      <c r="AC7" s="21"/>
      <c r="AD7" s="21"/>
      <c r="AE7" s="21"/>
      <c r="AF7" s="21"/>
      <c r="AG7" s="21"/>
      <c r="AH7" s="21"/>
      <c r="AI7" s="21"/>
      <c r="AJ7" s="21"/>
      <c r="AK7" s="22"/>
    </row>
    <row r="8" spans="1:37" ht="15.75" x14ac:dyDescent="0.25">
      <c r="A8" s="7" t="s">
        <v>6</v>
      </c>
      <c r="B8" s="7">
        <v>1990</v>
      </c>
      <c r="C8" s="37">
        <v>61.6</v>
      </c>
      <c r="E8" s="1"/>
      <c r="F8" s="29" t="s">
        <v>40</v>
      </c>
      <c r="G8" s="30" t="s">
        <v>16</v>
      </c>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2"/>
    </row>
    <row r="9" spans="1:37" ht="15.75" x14ac:dyDescent="0.25">
      <c r="A9" s="7" t="s">
        <v>7</v>
      </c>
      <c r="B9" s="7">
        <v>1990</v>
      </c>
      <c r="C9" s="37">
        <v>72</v>
      </c>
      <c r="E9" s="1"/>
      <c r="F9" s="29"/>
      <c r="G9" s="30" t="s">
        <v>17</v>
      </c>
      <c r="H9" s="21"/>
      <c r="I9" s="21"/>
      <c r="J9" s="21"/>
      <c r="K9" s="21"/>
      <c r="L9" s="21"/>
      <c r="M9" s="21"/>
      <c r="N9" s="21"/>
      <c r="O9" s="21"/>
      <c r="P9" s="21"/>
      <c r="Q9" s="21"/>
      <c r="R9" s="21"/>
      <c r="S9" s="21"/>
      <c r="T9" s="21"/>
      <c r="U9" s="21"/>
      <c r="V9" s="21"/>
      <c r="W9" s="21"/>
      <c r="X9" s="21"/>
      <c r="Y9" s="21"/>
      <c r="Z9" s="21"/>
      <c r="AA9" s="21"/>
      <c r="AB9" s="21"/>
      <c r="AC9" s="21"/>
      <c r="AD9" s="21"/>
      <c r="AE9" s="21"/>
      <c r="AF9" s="21"/>
      <c r="AG9" s="21"/>
      <c r="AH9" s="21"/>
      <c r="AI9" s="21"/>
      <c r="AJ9" s="21"/>
      <c r="AK9" s="22"/>
    </row>
    <row r="10" spans="1:37" ht="16.5" thickBot="1" x14ac:dyDescent="0.3">
      <c r="A10" s="7" t="s">
        <v>8</v>
      </c>
      <c r="B10" s="7">
        <v>1990</v>
      </c>
      <c r="C10" s="37">
        <v>76.900000000000006</v>
      </c>
      <c r="E10" s="1"/>
      <c r="F10" s="31"/>
      <c r="G10" s="32"/>
      <c r="H10" s="23"/>
      <c r="I10" s="23"/>
      <c r="J10" s="23"/>
      <c r="K10" s="23"/>
      <c r="L10" s="23"/>
      <c r="M10" s="23"/>
      <c r="N10" s="23"/>
      <c r="O10" s="23"/>
      <c r="P10" s="23"/>
      <c r="Q10" s="23"/>
      <c r="R10" s="23"/>
      <c r="S10" s="23"/>
      <c r="T10" s="23"/>
      <c r="U10" s="23"/>
      <c r="V10" s="23"/>
      <c r="W10" s="23"/>
      <c r="X10" s="23"/>
      <c r="Y10" s="23"/>
      <c r="Z10" s="23"/>
      <c r="AA10" s="23"/>
      <c r="AB10" s="23"/>
      <c r="AC10" s="23"/>
      <c r="AD10" s="23"/>
      <c r="AE10" s="23"/>
      <c r="AF10" s="23"/>
      <c r="AG10" s="23"/>
      <c r="AH10" s="23"/>
      <c r="AI10" s="23"/>
      <c r="AJ10" s="23"/>
      <c r="AK10" s="24"/>
    </row>
    <row r="11" spans="1:37" ht="13.5" thickBot="1" x14ac:dyDescent="0.25">
      <c r="A11" s="7" t="s">
        <v>9</v>
      </c>
      <c r="B11" s="7">
        <v>1990</v>
      </c>
      <c r="C11" s="37">
        <v>73.8</v>
      </c>
    </row>
    <row r="12" spans="1:37" ht="16.5" thickBot="1" x14ac:dyDescent="0.3">
      <c r="A12" s="7" t="s">
        <v>10</v>
      </c>
      <c r="B12" s="7">
        <v>1990</v>
      </c>
      <c r="C12" s="37">
        <v>66.099999999999994</v>
      </c>
      <c r="G12" s="15" t="s">
        <v>47</v>
      </c>
      <c r="H12" s="16"/>
      <c r="I12" s="16"/>
      <c r="J12" s="16"/>
      <c r="K12" s="16"/>
      <c r="L12" s="16"/>
      <c r="M12" s="16"/>
      <c r="N12" s="16"/>
      <c r="O12" s="17"/>
    </row>
    <row r="13" spans="1:37" x14ac:dyDescent="0.2">
      <c r="A13" s="7" t="s">
        <v>11</v>
      </c>
      <c r="B13" s="7">
        <v>1990</v>
      </c>
      <c r="C13" s="37">
        <v>58.7</v>
      </c>
    </row>
    <row r="14" spans="1:37" ht="15.75" x14ac:dyDescent="0.25">
      <c r="A14" s="7" t="s">
        <v>12</v>
      </c>
      <c r="B14" s="7">
        <v>1990</v>
      </c>
      <c r="C14" s="37">
        <v>48.6</v>
      </c>
      <c r="F14" s="38" t="s">
        <v>24</v>
      </c>
      <c r="G14" s="38"/>
      <c r="H14" s="38"/>
    </row>
    <row r="15" spans="1:37" x14ac:dyDescent="0.2">
      <c r="A15" s="7" t="s">
        <v>13</v>
      </c>
      <c r="B15" s="7">
        <v>1990</v>
      </c>
      <c r="C15" s="37">
        <v>41.3</v>
      </c>
      <c r="F15" s="3">
        <v>1</v>
      </c>
      <c r="G15" s="1" t="s">
        <v>50</v>
      </c>
    </row>
    <row r="16" spans="1:37" x14ac:dyDescent="0.2">
      <c r="A16" s="7" t="s">
        <v>2</v>
      </c>
      <c r="B16" s="7">
        <v>1991</v>
      </c>
      <c r="C16" s="37">
        <v>34</v>
      </c>
      <c r="F16" s="3">
        <v>2</v>
      </c>
      <c r="G16" s="4" t="s">
        <v>42</v>
      </c>
      <c r="H16" s="2"/>
      <c r="I16" s="2"/>
      <c r="J16" s="2"/>
      <c r="K16" s="2"/>
      <c r="L16" s="2"/>
      <c r="M16" s="2"/>
      <c r="N16" s="2"/>
      <c r="O16" s="2"/>
      <c r="P16" s="2"/>
      <c r="Q16" s="2"/>
      <c r="R16" s="2"/>
      <c r="S16" s="2"/>
    </row>
    <row r="17" spans="1:19" x14ac:dyDescent="0.2">
      <c r="A17" s="7" t="s">
        <v>3</v>
      </c>
      <c r="B17" s="7">
        <v>1991</v>
      </c>
      <c r="C17" s="37">
        <v>39.5</v>
      </c>
      <c r="F17" s="3">
        <v>3</v>
      </c>
      <c r="G17" s="4" t="s">
        <v>43</v>
      </c>
      <c r="H17" s="2"/>
      <c r="I17" s="2"/>
      <c r="J17" s="2"/>
      <c r="K17" s="2"/>
      <c r="L17" s="2"/>
      <c r="M17" s="2"/>
      <c r="N17" s="2"/>
      <c r="O17" s="2"/>
      <c r="P17" s="2"/>
      <c r="Q17" s="2"/>
      <c r="R17" s="2"/>
      <c r="S17" s="2"/>
    </row>
    <row r="18" spans="1:19" x14ac:dyDescent="0.2">
      <c r="A18" s="7" t="s">
        <v>4</v>
      </c>
      <c r="B18" s="7">
        <v>1991</v>
      </c>
      <c r="C18" s="37">
        <v>46.1</v>
      </c>
      <c r="F18" s="3">
        <v>4</v>
      </c>
      <c r="G18" s="1" t="s">
        <v>23</v>
      </c>
      <c r="I18" s="2"/>
      <c r="J18" s="2"/>
      <c r="K18" s="2"/>
      <c r="L18" s="2"/>
      <c r="M18" s="2"/>
      <c r="N18" s="2"/>
      <c r="O18" s="2"/>
      <c r="P18" s="2"/>
      <c r="Q18" s="2"/>
      <c r="R18" s="2"/>
      <c r="S18" s="2"/>
    </row>
    <row r="19" spans="1:19" ht="15.75" x14ac:dyDescent="0.25">
      <c r="A19" s="7" t="s">
        <v>5</v>
      </c>
      <c r="B19" s="7">
        <v>1991</v>
      </c>
      <c r="C19" s="37">
        <v>56</v>
      </c>
      <c r="F19" s="5"/>
      <c r="G19" s="9"/>
      <c r="H19" s="8" t="s">
        <v>21</v>
      </c>
      <c r="I19" s="2"/>
      <c r="J19" s="2"/>
      <c r="K19" s="2"/>
      <c r="L19" s="2"/>
      <c r="M19" s="2"/>
      <c r="N19" s="2"/>
      <c r="O19" s="2"/>
      <c r="P19" s="2"/>
      <c r="Q19" s="2"/>
      <c r="R19" s="2"/>
      <c r="S19" s="2"/>
    </row>
    <row r="20" spans="1:19" ht="15.75" x14ac:dyDescent="0.25">
      <c r="A20" s="7" t="s">
        <v>6</v>
      </c>
      <c r="B20" s="7">
        <v>1991</v>
      </c>
      <c r="C20" s="37">
        <v>69.3</v>
      </c>
      <c r="F20" s="5"/>
      <c r="G20" s="8" t="s">
        <v>14</v>
      </c>
      <c r="H20" s="8" t="s">
        <v>22</v>
      </c>
      <c r="I20" s="2"/>
      <c r="J20" s="2"/>
      <c r="K20" s="2"/>
      <c r="L20" s="2"/>
      <c r="M20" s="2"/>
      <c r="N20" s="2"/>
      <c r="O20" s="2"/>
      <c r="P20" s="2"/>
      <c r="Q20" s="2"/>
      <c r="R20" s="2"/>
      <c r="S20" s="2"/>
    </row>
    <row r="21" spans="1:19" ht="15.75" x14ac:dyDescent="0.25">
      <c r="A21" s="7" t="s">
        <v>7</v>
      </c>
      <c r="B21" s="7">
        <v>1991</v>
      </c>
      <c r="C21" s="37">
        <v>72.3</v>
      </c>
      <c r="F21" s="5"/>
      <c r="G21" s="9" t="s">
        <v>2</v>
      </c>
      <c r="H21" s="11" t="s">
        <v>41</v>
      </c>
      <c r="I21" s="2"/>
      <c r="J21" s="2"/>
      <c r="K21" s="2"/>
      <c r="L21" s="2"/>
      <c r="M21" s="2"/>
      <c r="N21" s="2"/>
      <c r="O21" s="2"/>
      <c r="P21" s="2"/>
      <c r="Q21" s="2"/>
      <c r="R21" s="2"/>
      <c r="S21" s="2"/>
    </row>
    <row r="22" spans="1:19" ht="15.75" x14ac:dyDescent="0.25">
      <c r="A22" s="7" t="s">
        <v>8</v>
      </c>
      <c r="B22" s="7">
        <v>1991</v>
      </c>
      <c r="C22" s="37">
        <v>77.900000000000006</v>
      </c>
      <c r="F22" s="5"/>
      <c r="G22" s="9" t="s">
        <v>3</v>
      </c>
      <c r="H22" s="10"/>
      <c r="I22" s="2"/>
      <c r="J22" s="2"/>
      <c r="K22" s="2"/>
      <c r="L22" s="2"/>
      <c r="M22" s="2"/>
      <c r="N22" s="2"/>
      <c r="O22" s="2"/>
      <c r="P22" s="2"/>
      <c r="Q22" s="2"/>
      <c r="R22" s="2"/>
      <c r="S22" s="2"/>
    </row>
    <row r="23" spans="1:19" ht="15.75" x14ac:dyDescent="0.25">
      <c r="A23" s="7" t="s">
        <v>9</v>
      </c>
      <c r="B23" s="7">
        <v>1991</v>
      </c>
      <c r="C23" s="37">
        <v>77</v>
      </c>
      <c r="F23" s="5"/>
      <c r="G23" s="9" t="s">
        <v>4</v>
      </c>
      <c r="H23" s="10"/>
      <c r="I23" s="2"/>
      <c r="J23" s="2"/>
      <c r="K23" s="2"/>
      <c r="L23" s="2"/>
      <c r="M23" s="2"/>
      <c r="N23" s="2"/>
      <c r="O23" s="2"/>
      <c r="P23" s="2"/>
      <c r="Q23" s="2"/>
      <c r="R23" s="2"/>
      <c r="S23" s="2"/>
    </row>
    <row r="24" spans="1:19" ht="15.75" x14ac:dyDescent="0.25">
      <c r="A24" s="7" t="s">
        <v>10</v>
      </c>
      <c r="B24" s="7">
        <v>1991</v>
      </c>
      <c r="C24" s="37">
        <v>67.599999999999994</v>
      </c>
      <c r="F24" s="5"/>
      <c r="G24" s="9" t="s">
        <v>5</v>
      </c>
      <c r="H24" s="10"/>
      <c r="I24" s="2"/>
      <c r="J24" s="2"/>
      <c r="K24" s="2"/>
      <c r="L24" s="2"/>
      <c r="M24" s="2"/>
      <c r="N24" s="2"/>
      <c r="O24" s="2"/>
      <c r="P24" s="2"/>
      <c r="Q24" s="2"/>
      <c r="R24" s="2"/>
      <c r="S24" s="2"/>
    </row>
    <row r="25" spans="1:19" ht="15.75" x14ac:dyDescent="0.25">
      <c r="A25" s="7" t="s">
        <v>11</v>
      </c>
      <c r="B25" s="7">
        <v>1991</v>
      </c>
      <c r="C25" s="37">
        <v>56.6</v>
      </c>
      <c r="F25" s="5"/>
      <c r="G25" s="9" t="s">
        <v>6</v>
      </c>
      <c r="H25" s="10"/>
      <c r="I25" s="2"/>
      <c r="J25" s="2"/>
      <c r="K25" s="2"/>
      <c r="L25" s="2"/>
      <c r="M25" s="2"/>
      <c r="N25" s="2"/>
      <c r="O25" s="2"/>
      <c r="P25" s="2"/>
      <c r="Q25" s="2"/>
      <c r="R25" s="2"/>
      <c r="S25" s="2"/>
    </row>
    <row r="26" spans="1:19" ht="15.75" x14ac:dyDescent="0.25">
      <c r="A26" s="7" t="s">
        <v>12</v>
      </c>
      <c r="B26" s="7">
        <v>1991</v>
      </c>
      <c r="C26" s="37">
        <v>45.7</v>
      </c>
      <c r="F26" s="5"/>
      <c r="G26" s="9" t="s">
        <v>7</v>
      </c>
      <c r="H26" s="10"/>
      <c r="I26" s="2"/>
      <c r="J26" s="2"/>
      <c r="K26" s="2"/>
      <c r="L26" s="2"/>
      <c r="M26" s="2"/>
      <c r="N26" s="2"/>
      <c r="O26" s="2"/>
      <c r="P26" s="2"/>
      <c r="Q26" s="2"/>
      <c r="R26" s="2"/>
      <c r="S26" s="2"/>
    </row>
    <row r="27" spans="1:19" ht="15.75" x14ac:dyDescent="0.25">
      <c r="A27" s="7" t="s">
        <v>13</v>
      </c>
      <c r="B27" s="7">
        <v>1991</v>
      </c>
      <c r="C27" s="37">
        <v>38.5</v>
      </c>
      <c r="F27" s="5"/>
      <c r="G27" s="9" t="s">
        <v>8</v>
      </c>
      <c r="H27" s="10"/>
      <c r="I27" s="2"/>
      <c r="J27" s="2"/>
      <c r="K27" s="2"/>
      <c r="L27" s="2"/>
      <c r="M27" s="2"/>
      <c r="N27" s="2"/>
      <c r="O27" s="2"/>
      <c r="P27" s="2"/>
      <c r="Q27" s="2"/>
      <c r="R27" s="2"/>
      <c r="S27" s="2"/>
    </row>
    <row r="28" spans="1:19" ht="15.75" x14ac:dyDescent="0.25">
      <c r="A28" s="7" t="s">
        <v>2</v>
      </c>
      <c r="B28" s="7">
        <v>1992</v>
      </c>
      <c r="C28" s="37">
        <v>35</v>
      </c>
      <c r="F28" s="5"/>
      <c r="G28" s="9" t="s">
        <v>9</v>
      </c>
      <c r="H28" s="10"/>
      <c r="I28" s="2"/>
      <c r="J28" s="2"/>
      <c r="K28" s="2"/>
      <c r="L28" s="2"/>
      <c r="M28" s="2"/>
      <c r="N28" s="2"/>
      <c r="O28" s="2"/>
      <c r="P28" s="2"/>
      <c r="Q28" s="2"/>
      <c r="R28" s="2"/>
      <c r="S28" s="2"/>
    </row>
    <row r="29" spans="1:19" ht="15.75" x14ac:dyDescent="0.25">
      <c r="A29" s="7" t="s">
        <v>3</v>
      </c>
      <c r="B29" s="7">
        <v>1992</v>
      </c>
      <c r="C29" s="37">
        <v>38</v>
      </c>
      <c r="G29" s="9" t="s">
        <v>10</v>
      </c>
      <c r="H29" s="10"/>
    </row>
    <row r="30" spans="1:19" ht="15.75" x14ac:dyDescent="0.25">
      <c r="A30" s="7" t="s">
        <v>4</v>
      </c>
      <c r="B30" s="7">
        <v>1992</v>
      </c>
      <c r="C30" s="37">
        <v>41.9</v>
      </c>
      <c r="G30" s="9" t="s">
        <v>11</v>
      </c>
      <c r="H30" s="10"/>
    </row>
    <row r="31" spans="1:19" ht="15.75" x14ac:dyDescent="0.25">
      <c r="A31" s="7" t="s">
        <v>5</v>
      </c>
      <c r="B31" s="7">
        <v>1992</v>
      </c>
      <c r="C31" s="37">
        <v>53.1</v>
      </c>
      <c r="G31" s="9" t="s">
        <v>12</v>
      </c>
      <c r="H31" s="10"/>
    </row>
    <row r="32" spans="1:19" ht="15.75" x14ac:dyDescent="0.25">
      <c r="A32" s="7" t="s">
        <v>6</v>
      </c>
      <c r="B32" s="7">
        <v>1992</v>
      </c>
      <c r="C32" s="37">
        <v>59.7</v>
      </c>
      <c r="G32" s="9" t="s">
        <v>13</v>
      </c>
      <c r="H32" s="10"/>
    </row>
    <row r="33" spans="1:8" x14ac:dyDescent="0.2">
      <c r="A33" s="7" t="s">
        <v>7</v>
      </c>
      <c r="B33" s="7">
        <v>1992</v>
      </c>
      <c r="C33" s="37">
        <v>68.599999999999994</v>
      </c>
    </row>
    <row r="34" spans="1:8" ht="15.75" x14ac:dyDescent="0.25">
      <c r="A34" s="7" t="s">
        <v>8</v>
      </c>
      <c r="B34" s="7">
        <v>1992</v>
      </c>
      <c r="C34" s="37">
        <v>75.900000000000006</v>
      </c>
      <c r="F34" s="38" t="s">
        <v>25</v>
      </c>
      <c r="G34" s="38"/>
      <c r="H34" s="38"/>
    </row>
    <row r="35" spans="1:8" x14ac:dyDescent="0.2">
      <c r="A35" s="7" t="s">
        <v>9</v>
      </c>
      <c r="B35" s="7">
        <v>1992</v>
      </c>
      <c r="C35" s="37">
        <v>70.400000000000006</v>
      </c>
      <c r="F35" s="3">
        <v>1</v>
      </c>
      <c r="G35" s="1" t="s">
        <v>53</v>
      </c>
    </row>
    <row r="36" spans="1:8" x14ac:dyDescent="0.2">
      <c r="A36" s="7" t="s">
        <v>10</v>
      </c>
      <c r="B36" s="7">
        <v>1992</v>
      </c>
      <c r="C36" s="37">
        <v>66</v>
      </c>
      <c r="F36" s="3">
        <v>2</v>
      </c>
      <c r="G36" s="4" t="s">
        <v>46</v>
      </c>
    </row>
    <row r="37" spans="1:8" x14ac:dyDescent="0.2">
      <c r="A37" s="7" t="s">
        <v>11</v>
      </c>
      <c r="B37" s="7">
        <v>1992</v>
      </c>
      <c r="C37" s="37">
        <v>52.2</v>
      </c>
      <c r="F37" s="3">
        <v>3</v>
      </c>
      <c r="G37" s="4" t="s">
        <v>28</v>
      </c>
    </row>
    <row r="38" spans="1:8" x14ac:dyDescent="0.2">
      <c r="A38" s="7" t="s">
        <v>12</v>
      </c>
      <c r="B38" s="7">
        <v>1992</v>
      </c>
      <c r="C38" s="37">
        <v>45.7</v>
      </c>
      <c r="F38" s="3">
        <v>4</v>
      </c>
      <c r="G38" s="1" t="s">
        <v>26</v>
      </c>
    </row>
    <row r="39" spans="1:8" x14ac:dyDescent="0.2">
      <c r="A39" s="7" t="s">
        <v>13</v>
      </c>
      <c r="B39" s="7">
        <v>1992</v>
      </c>
      <c r="C39" s="37">
        <v>36.799999999999997</v>
      </c>
    </row>
    <row r="40" spans="1:8" x14ac:dyDescent="0.2">
      <c r="A40" s="7" t="s">
        <v>2</v>
      </c>
      <c r="B40" s="7">
        <v>1993</v>
      </c>
      <c r="C40" s="37">
        <v>36.799999999999997</v>
      </c>
    </row>
    <row r="41" spans="1:8" x14ac:dyDescent="0.2">
      <c r="A41" s="7" t="s">
        <v>3</v>
      </c>
      <c r="B41" s="7">
        <v>1993</v>
      </c>
      <c r="C41" s="37">
        <v>31.7</v>
      </c>
    </row>
    <row r="42" spans="1:8" ht="15.75" x14ac:dyDescent="0.25">
      <c r="A42" s="7" t="s">
        <v>4</v>
      </c>
      <c r="B42" s="7">
        <v>1993</v>
      </c>
      <c r="C42" s="37">
        <v>39.299999999999997</v>
      </c>
      <c r="G42" s="8"/>
      <c r="H42" s="8" t="s">
        <v>27</v>
      </c>
    </row>
    <row r="43" spans="1:8" ht="15.75" x14ac:dyDescent="0.25">
      <c r="A43" s="7" t="s">
        <v>5</v>
      </c>
      <c r="B43" s="7">
        <v>1993</v>
      </c>
      <c r="C43" s="37">
        <v>52.6</v>
      </c>
      <c r="G43" s="8" t="s">
        <v>0</v>
      </c>
      <c r="H43" s="8" t="s">
        <v>22</v>
      </c>
    </row>
    <row r="44" spans="1:8" ht="15.75" x14ac:dyDescent="0.25">
      <c r="A44" s="7" t="s">
        <v>6</v>
      </c>
      <c r="B44" s="7">
        <v>1993</v>
      </c>
      <c r="C44" s="37">
        <v>64.5</v>
      </c>
      <c r="G44" s="8">
        <v>1990</v>
      </c>
      <c r="H44" s="10"/>
    </row>
    <row r="45" spans="1:8" ht="15.75" x14ac:dyDescent="0.25">
      <c r="A45" s="7" t="s">
        <v>7</v>
      </c>
      <c r="B45" s="7">
        <v>1993</v>
      </c>
      <c r="C45" s="37">
        <v>72</v>
      </c>
      <c r="G45" s="8">
        <v>1991</v>
      </c>
      <c r="H45" s="10"/>
    </row>
    <row r="46" spans="1:8" ht="15.75" x14ac:dyDescent="0.25">
      <c r="A46" s="7" t="s">
        <v>8</v>
      </c>
      <c r="B46" s="7">
        <v>1993</v>
      </c>
      <c r="C46" s="37">
        <v>79.7</v>
      </c>
      <c r="G46" s="8">
        <v>1992</v>
      </c>
      <c r="H46" s="10"/>
    </row>
    <row r="47" spans="1:8" ht="15.75" x14ac:dyDescent="0.25">
      <c r="A47" s="7" t="s">
        <v>9</v>
      </c>
      <c r="B47" s="7">
        <v>1993</v>
      </c>
      <c r="C47" s="37">
        <v>78</v>
      </c>
      <c r="G47" s="8">
        <v>1993</v>
      </c>
      <c r="H47" s="10"/>
    </row>
    <row r="48" spans="1:8" ht="15.75" x14ac:dyDescent="0.25">
      <c r="A48" s="7" t="s">
        <v>10</v>
      </c>
      <c r="B48" s="7">
        <v>1993</v>
      </c>
      <c r="C48" s="37">
        <v>68.7</v>
      </c>
      <c r="G48" s="8">
        <v>1994</v>
      </c>
      <c r="H48" s="10"/>
    </row>
    <row r="49" spans="1:8" ht="15.75" x14ac:dyDescent="0.25">
      <c r="A49" s="7" t="s">
        <v>11</v>
      </c>
      <c r="B49" s="7">
        <v>1993</v>
      </c>
      <c r="C49" s="37">
        <v>54.2</v>
      </c>
      <c r="G49" s="8">
        <v>1995</v>
      </c>
      <c r="H49" s="10"/>
    </row>
    <row r="50" spans="1:8" ht="15.75" x14ac:dyDescent="0.25">
      <c r="A50" s="7" t="s">
        <v>12</v>
      </c>
      <c r="B50" s="7">
        <v>1993</v>
      </c>
      <c r="C50" s="37">
        <v>45.3</v>
      </c>
      <c r="G50" s="8">
        <v>1996</v>
      </c>
      <c r="H50" s="10"/>
    </row>
    <row r="51" spans="1:8" ht="15.75" x14ac:dyDescent="0.25">
      <c r="A51" s="7" t="s">
        <v>13</v>
      </c>
      <c r="B51" s="7">
        <v>1993</v>
      </c>
      <c r="C51" s="37">
        <v>34</v>
      </c>
      <c r="G51" s="8">
        <v>1997</v>
      </c>
      <c r="H51" s="10"/>
    </row>
    <row r="52" spans="1:8" ht="15.75" x14ac:dyDescent="0.25">
      <c r="A52" s="7" t="s">
        <v>2</v>
      </c>
      <c r="B52" s="7">
        <v>1994</v>
      </c>
      <c r="C52" s="37">
        <v>26.1</v>
      </c>
      <c r="G52" s="8">
        <v>1998</v>
      </c>
      <c r="H52" s="10"/>
    </row>
    <row r="53" spans="1:8" ht="15.75" x14ac:dyDescent="0.25">
      <c r="A53" s="7" t="s">
        <v>3</v>
      </c>
      <c r="B53" s="7">
        <v>1994</v>
      </c>
      <c r="C53" s="37">
        <v>33.299999999999997</v>
      </c>
      <c r="G53" s="8">
        <v>1999</v>
      </c>
      <c r="H53" s="10"/>
    </row>
    <row r="54" spans="1:8" ht="15.75" x14ac:dyDescent="0.25">
      <c r="A54" s="7" t="s">
        <v>4</v>
      </c>
      <c r="B54" s="7">
        <v>1994</v>
      </c>
      <c r="C54" s="37">
        <v>42.7</v>
      </c>
      <c r="G54" s="8">
        <v>2000</v>
      </c>
      <c r="H54" s="10"/>
    </row>
    <row r="55" spans="1:8" ht="15.75" x14ac:dyDescent="0.25">
      <c r="A55" s="7" t="s">
        <v>5</v>
      </c>
      <c r="B55" s="7">
        <v>1994</v>
      </c>
      <c r="C55" s="37">
        <v>60.1</v>
      </c>
      <c r="G55" s="8">
        <v>2001</v>
      </c>
      <c r="H55" s="10"/>
    </row>
    <row r="56" spans="1:8" x14ac:dyDescent="0.2">
      <c r="A56" s="7" t="s">
        <v>6</v>
      </c>
      <c r="B56" s="7">
        <v>1994</v>
      </c>
      <c r="C56" s="37">
        <v>59.9</v>
      </c>
    </row>
    <row r="57" spans="1:8" x14ac:dyDescent="0.2">
      <c r="A57" s="7" t="s">
        <v>7</v>
      </c>
      <c r="B57" s="7">
        <v>1994</v>
      </c>
      <c r="C57" s="37">
        <v>76.099999999999994</v>
      </c>
    </row>
    <row r="58" spans="1:8" x14ac:dyDescent="0.2">
      <c r="A58" s="7" t="s">
        <v>8</v>
      </c>
      <c r="B58" s="7">
        <v>1994</v>
      </c>
      <c r="C58" s="37">
        <v>79.5</v>
      </c>
    </row>
    <row r="59" spans="1:8" ht="15.75" x14ac:dyDescent="0.25">
      <c r="A59" s="7" t="s">
        <v>9</v>
      </c>
      <c r="B59" s="7">
        <v>1994</v>
      </c>
      <c r="C59" s="37">
        <v>73.8</v>
      </c>
      <c r="F59" s="38" t="s">
        <v>31</v>
      </c>
      <c r="G59" s="38"/>
      <c r="H59" s="38"/>
    </row>
    <row r="60" spans="1:8" x14ac:dyDescent="0.2">
      <c r="A60" s="7" t="s">
        <v>10</v>
      </c>
      <c r="B60" s="7">
        <v>1994</v>
      </c>
      <c r="C60" s="37">
        <v>66.7</v>
      </c>
      <c r="F60" s="3">
        <v>1</v>
      </c>
      <c r="G60" s="1" t="s">
        <v>52</v>
      </c>
    </row>
    <row r="61" spans="1:8" x14ac:dyDescent="0.2">
      <c r="A61" s="7" t="s">
        <v>11</v>
      </c>
      <c r="B61" s="7">
        <v>1994</v>
      </c>
      <c r="C61" s="37">
        <v>53.9</v>
      </c>
      <c r="F61" s="3">
        <v>2</v>
      </c>
      <c r="G61" s="1" t="s">
        <v>44</v>
      </c>
    </row>
    <row r="62" spans="1:8" x14ac:dyDescent="0.2">
      <c r="A62" s="7" t="s">
        <v>12</v>
      </c>
      <c r="B62" s="7">
        <v>1994</v>
      </c>
      <c r="C62" s="37">
        <v>49.1</v>
      </c>
      <c r="F62" s="3">
        <v>3</v>
      </c>
      <c r="G62" s="1" t="s">
        <v>29</v>
      </c>
    </row>
    <row r="63" spans="1:8" x14ac:dyDescent="0.2">
      <c r="A63" s="7" t="s">
        <v>13</v>
      </c>
      <c r="B63" s="7">
        <v>1994</v>
      </c>
      <c r="C63" s="37">
        <v>40.299999999999997</v>
      </c>
      <c r="F63" s="3">
        <v>4</v>
      </c>
      <c r="G63" s="1" t="s">
        <v>45</v>
      </c>
    </row>
    <row r="64" spans="1:8" x14ac:dyDescent="0.2">
      <c r="A64" s="7" t="s">
        <v>2</v>
      </c>
      <c r="B64" s="7">
        <v>1995</v>
      </c>
      <c r="C64" s="37">
        <v>37.200000000000003</v>
      </c>
      <c r="F64" s="1">
        <v>5</v>
      </c>
      <c r="G64" s="1" t="s">
        <v>30</v>
      </c>
    </row>
    <row r="65" spans="1:8" x14ac:dyDescent="0.2">
      <c r="A65" s="7" t="s">
        <v>3</v>
      </c>
      <c r="B65" s="7">
        <v>1995</v>
      </c>
      <c r="C65" s="37">
        <v>31.3</v>
      </c>
    </row>
    <row r="66" spans="1:8" x14ac:dyDescent="0.2">
      <c r="A66" s="7" t="s">
        <v>4</v>
      </c>
      <c r="B66" s="7">
        <v>1995</v>
      </c>
      <c r="C66" s="37">
        <v>46.1</v>
      </c>
    </row>
    <row r="67" spans="1:8" x14ac:dyDescent="0.2">
      <c r="A67" s="7" t="s">
        <v>5</v>
      </c>
      <c r="B67" s="7">
        <v>1995</v>
      </c>
      <c r="C67" s="37">
        <v>52.6</v>
      </c>
    </row>
    <row r="68" spans="1:8" ht="15.75" x14ac:dyDescent="0.25">
      <c r="A68" s="7" t="s">
        <v>6</v>
      </c>
      <c r="B68" s="7">
        <v>1995</v>
      </c>
      <c r="C68" s="37">
        <v>62.7</v>
      </c>
      <c r="F68" s="25" t="s">
        <v>32</v>
      </c>
      <c r="G68" s="25"/>
      <c r="H68" s="25"/>
    </row>
    <row r="69" spans="1:8" x14ac:dyDescent="0.2">
      <c r="A69" s="7" t="s">
        <v>7</v>
      </c>
      <c r="B69" s="7">
        <v>1995</v>
      </c>
      <c r="C69" s="37">
        <v>71.5</v>
      </c>
      <c r="F69" s="3">
        <v>1</v>
      </c>
      <c r="G69" s="1" t="s">
        <v>51</v>
      </c>
    </row>
    <row r="70" spans="1:8" x14ac:dyDescent="0.2">
      <c r="A70" s="7" t="s">
        <v>8</v>
      </c>
      <c r="B70" s="7">
        <v>1995</v>
      </c>
      <c r="C70" s="37">
        <v>78.2</v>
      </c>
      <c r="F70" s="3">
        <v>2</v>
      </c>
      <c r="G70" s="1" t="s">
        <v>33</v>
      </c>
    </row>
    <row r="71" spans="1:8" x14ac:dyDescent="0.2">
      <c r="A71" s="7" t="s">
        <v>9</v>
      </c>
      <c r="B71" s="7">
        <v>1995</v>
      </c>
      <c r="C71" s="37">
        <v>77.599999999999994</v>
      </c>
      <c r="F71" s="3">
        <v>3</v>
      </c>
      <c r="G71" s="1" t="s">
        <v>34</v>
      </c>
    </row>
    <row r="72" spans="1:8" x14ac:dyDescent="0.2">
      <c r="A72" s="7" t="s">
        <v>10</v>
      </c>
      <c r="B72" s="7">
        <v>1995</v>
      </c>
      <c r="C72" s="37">
        <v>67.099999999999994</v>
      </c>
      <c r="F72" s="3">
        <v>4</v>
      </c>
      <c r="G72" s="1" t="s">
        <v>70</v>
      </c>
    </row>
    <row r="73" spans="1:8" x14ac:dyDescent="0.2">
      <c r="A73" s="7" t="s">
        <v>11</v>
      </c>
      <c r="B73" s="7">
        <v>1995</v>
      </c>
      <c r="C73" s="37">
        <v>58.3</v>
      </c>
      <c r="F73" s="1">
        <v>5</v>
      </c>
      <c r="G73" s="1" t="s">
        <v>35</v>
      </c>
    </row>
    <row r="74" spans="1:8" x14ac:dyDescent="0.2">
      <c r="A74" s="7" t="s">
        <v>12</v>
      </c>
      <c r="B74" s="7">
        <v>1995</v>
      </c>
      <c r="C74" s="37">
        <v>39.700000000000003</v>
      </c>
    </row>
    <row r="75" spans="1:8" x14ac:dyDescent="0.2">
      <c r="A75" s="7" t="s">
        <v>13</v>
      </c>
      <c r="B75" s="7">
        <v>1995</v>
      </c>
      <c r="C75" s="37">
        <v>33</v>
      </c>
    </row>
    <row r="76" spans="1:8" x14ac:dyDescent="0.2">
      <c r="A76" s="7" t="s">
        <v>2</v>
      </c>
      <c r="B76" s="7">
        <v>1996</v>
      </c>
      <c r="C76" s="37">
        <v>30</v>
      </c>
    </row>
    <row r="77" spans="1:8" x14ac:dyDescent="0.2">
      <c r="A77" s="7" t="s">
        <v>3</v>
      </c>
      <c r="B77" s="7">
        <v>1996</v>
      </c>
      <c r="C77" s="37">
        <v>34.700000000000003</v>
      </c>
    </row>
    <row r="78" spans="1:8" x14ac:dyDescent="0.2">
      <c r="A78" s="7" t="s">
        <v>4</v>
      </c>
      <c r="B78" s="7">
        <v>1996</v>
      </c>
      <c r="C78" s="37">
        <v>39.700000000000003</v>
      </c>
    </row>
    <row r="79" spans="1:8" x14ac:dyDescent="0.2">
      <c r="A79" s="7" t="s">
        <v>5</v>
      </c>
      <c r="B79" s="7">
        <v>1996</v>
      </c>
      <c r="C79" s="37">
        <v>54.6</v>
      </c>
    </row>
    <row r="80" spans="1:8" x14ac:dyDescent="0.2">
      <c r="A80" s="7" t="s">
        <v>6</v>
      </c>
      <c r="B80" s="7">
        <v>1996</v>
      </c>
      <c r="C80" s="37">
        <v>59.7</v>
      </c>
    </row>
    <row r="81" spans="1:3" x14ac:dyDescent="0.2">
      <c r="A81" s="7" t="s">
        <v>7</v>
      </c>
      <c r="B81" s="7">
        <v>1996</v>
      </c>
      <c r="C81" s="37">
        <v>72.8</v>
      </c>
    </row>
    <row r="82" spans="1:3" x14ac:dyDescent="0.2">
      <c r="A82" s="7" t="s">
        <v>8</v>
      </c>
      <c r="B82" s="7">
        <v>1996</v>
      </c>
      <c r="C82" s="37">
        <v>72.900000000000006</v>
      </c>
    </row>
    <row r="83" spans="1:3" x14ac:dyDescent="0.2">
      <c r="A83" s="7" t="s">
        <v>9</v>
      </c>
      <c r="B83" s="7">
        <v>1996</v>
      </c>
      <c r="C83" s="37">
        <v>72.7</v>
      </c>
    </row>
    <row r="84" spans="1:3" x14ac:dyDescent="0.2">
      <c r="A84" s="7" t="s">
        <v>10</v>
      </c>
      <c r="B84" s="7">
        <v>1996</v>
      </c>
      <c r="C84" s="37">
        <v>67.099999999999994</v>
      </c>
    </row>
    <row r="85" spans="1:3" x14ac:dyDescent="0.2">
      <c r="A85" s="7" t="s">
        <v>11</v>
      </c>
      <c r="B85" s="7">
        <v>1996</v>
      </c>
      <c r="C85" s="37">
        <v>55.7</v>
      </c>
    </row>
    <row r="86" spans="1:3" x14ac:dyDescent="0.2">
      <c r="A86" s="7" t="s">
        <v>12</v>
      </c>
      <c r="B86" s="7">
        <v>1996</v>
      </c>
      <c r="C86" s="37">
        <v>39.299999999999997</v>
      </c>
    </row>
    <row r="87" spans="1:3" x14ac:dyDescent="0.2">
      <c r="A87" s="7" t="s">
        <v>13</v>
      </c>
      <c r="B87" s="7">
        <v>1996</v>
      </c>
      <c r="C87" s="37">
        <v>38.299999999999997</v>
      </c>
    </row>
    <row r="88" spans="1:3" x14ac:dyDescent="0.2">
      <c r="A88" s="7" t="s">
        <v>2</v>
      </c>
      <c r="B88" s="7">
        <v>1997</v>
      </c>
      <c r="C88" s="37">
        <v>32.5</v>
      </c>
    </row>
    <row r="89" spans="1:3" x14ac:dyDescent="0.2">
      <c r="A89" s="7" t="s">
        <v>3</v>
      </c>
      <c r="B89" s="7">
        <v>1997</v>
      </c>
      <c r="C89" s="37">
        <v>40.5</v>
      </c>
    </row>
    <row r="90" spans="1:3" x14ac:dyDescent="0.2">
      <c r="A90" s="7" t="s">
        <v>4</v>
      </c>
      <c r="B90" s="7">
        <v>1997</v>
      </c>
      <c r="C90" s="37">
        <v>44.6</v>
      </c>
    </row>
    <row r="91" spans="1:3" x14ac:dyDescent="0.2">
      <c r="A91" s="7" t="s">
        <v>5</v>
      </c>
      <c r="B91" s="7">
        <v>1997</v>
      </c>
      <c r="C91" s="37">
        <v>50.3</v>
      </c>
    </row>
    <row r="92" spans="1:3" x14ac:dyDescent="0.2">
      <c r="A92" s="7" t="s">
        <v>6</v>
      </c>
      <c r="B92" s="7">
        <v>1997</v>
      </c>
      <c r="C92" s="37">
        <v>58.8</v>
      </c>
    </row>
    <row r="93" spans="1:3" x14ac:dyDescent="0.2">
      <c r="A93" s="7" t="s">
        <v>7</v>
      </c>
      <c r="B93" s="7">
        <v>1997</v>
      </c>
      <c r="C93" s="37">
        <v>69.099999999999994</v>
      </c>
    </row>
    <row r="94" spans="1:3" x14ac:dyDescent="0.2">
      <c r="A94" s="7" t="s">
        <v>8</v>
      </c>
      <c r="B94" s="7">
        <v>1997</v>
      </c>
      <c r="C94" s="37">
        <v>75.8</v>
      </c>
    </row>
    <row r="95" spans="1:3" x14ac:dyDescent="0.2">
      <c r="A95" s="7" t="s">
        <v>9</v>
      </c>
      <c r="B95" s="7">
        <v>1997</v>
      </c>
      <c r="C95" s="37">
        <v>73.3</v>
      </c>
    </row>
    <row r="96" spans="1:3" x14ac:dyDescent="0.2">
      <c r="A96" s="7" t="s">
        <v>10</v>
      </c>
      <c r="B96" s="7">
        <v>1997</v>
      </c>
      <c r="C96" s="37">
        <v>65.099999999999994</v>
      </c>
    </row>
    <row r="97" spans="1:6" x14ac:dyDescent="0.2">
      <c r="A97" s="7" t="s">
        <v>11</v>
      </c>
      <c r="B97" s="7">
        <v>1997</v>
      </c>
      <c r="C97" s="37">
        <v>53.7</v>
      </c>
    </row>
    <row r="98" spans="1:6" x14ac:dyDescent="0.2">
      <c r="A98" s="7" t="s">
        <v>12</v>
      </c>
      <c r="B98" s="7">
        <v>1997</v>
      </c>
      <c r="C98" s="37">
        <v>43.6</v>
      </c>
    </row>
    <row r="99" spans="1:6" x14ac:dyDescent="0.2">
      <c r="A99" s="7" t="s">
        <v>13</v>
      </c>
      <c r="B99" s="7">
        <v>1997</v>
      </c>
      <c r="C99" s="37">
        <v>37.200000000000003</v>
      </c>
    </row>
    <row r="100" spans="1:6" x14ac:dyDescent="0.2">
      <c r="A100" s="7" t="s">
        <v>2</v>
      </c>
      <c r="B100" s="7">
        <v>1998</v>
      </c>
      <c r="C100" s="37">
        <v>40.1</v>
      </c>
    </row>
    <row r="101" spans="1:6" x14ac:dyDescent="0.2">
      <c r="A101" s="7" t="s">
        <v>3</v>
      </c>
      <c r="B101" s="7">
        <v>1998</v>
      </c>
      <c r="C101" s="37">
        <v>41</v>
      </c>
    </row>
    <row r="102" spans="1:6" x14ac:dyDescent="0.2">
      <c r="A102" s="7" t="s">
        <v>4</v>
      </c>
      <c r="B102" s="7">
        <v>1998</v>
      </c>
      <c r="C102" s="37">
        <v>45.5</v>
      </c>
    </row>
    <row r="103" spans="1:6" x14ac:dyDescent="0.2">
      <c r="A103" s="7" t="s">
        <v>5</v>
      </c>
      <c r="B103" s="7">
        <v>1998</v>
      </c>
      <c r="C103" s="37">
        <v>54.9</v>
      </c>
    </row>
    <row r="104" spans="1:6" x14ac:dyDescent="0.2">
      <c r="A104" s="7" t="s">
        <v>6</v>
      </c>
      <c r="B104" s="7">
        <v>1998</v>
      </c>
      <c r="C104" s="37">
        <v>66</v>
      </c>
    </row>
    <row r="105" spans="1:6" x14ac:dyDescent="0.2">
      <c r="A105" s="7" t="s">
        <v>7</v>
      </c>
      <c r="B105" s="7">
        <v>1998</v>
      </c>
      <c r="C105" s="37">
        <v>70.400000000000006</v>
      </c>
    </row>
    <row r="106" spans="1:6" x14ac:dyDescent="0.2">
      <c r="A106" s="7" t="s">
        <v>8</v>
      </c>
      <c r="B106" s="7">
        <v>1998</v>
      </c>
      <c r="C106" s="37">
        <v>75.3</v>
      </c>
    </row>
    <row r="107" spans="1:6" x14ac:dyDescent="0.2">
      <c r="A107" s="7" t="s">
        <v>9</v>
      </c>
      <c r="B107" s="7">
        <v>1998</v>
      </c>
      <c r="C107" s="37">
        <v>76.2</v>
      </c>
    </row>
    <row r="108" spans="1:6" x14ac:dyDescent="0.2">
      <c r="A108" s="7" t="s">
        <v>10</v>
      </c>
      <c r="B108" s="7">
        <v>1998</v>
      </c>
      <c r="C108" s="37">
        <v>72.7</v>
      </c>
      <c r="F108" s="6"/>
    </row>
    <row r="109" spans="1:6" x14ac:dyDescent="0.2">
      <c r="A109" s="7" t="s">
        <v>11</v>
      </c>
      <c r="B109" s="7">
        <v>1998</v>
      </c>
      <c r="C109" s="37">
        <v>56.2</v>
      </c>
      <c r="F109" s="6"/>
    </row>
    <row r="110" spans="1:6" x14ac:dyDescent="0.2">
      <c r="A110" s="7" t="s">
        <v>12</v>
      </c>
      <c r="B110" s="7">
        <v>1998</v>
      </c>
      <c r="C110" s="37">
        <v>45.6</v>
      </c>
    </row>
    <row r="111" spans="1:6" x14ac:dyDescent="0.2">
      <c r="A111" s="7" t="s">
        <v>13</v>
      </c>
      <c r="B111" s="7">
        <v>1998</v>
      </c>
      <c r="C111" s="37">
        <v>40.9</v>
      </c>
    </row>
    <row r="112" spans="1:6" x14ac:dyDescent="0.2">
      <c r="A112" s="7" t="s">
        <v>2</v>
      </c>
      <c r="B112" s="7">
        <v>1999</v>
      </c>
      <c r="C112" s="37">
        <v>34.9</v>
      </c>
    </row>
    <row r="113" spans="1:3" x14ac:dyDescent="0.2">
      <c r="A113" s="7" t="s">
        <v>3</v>
      </c>
      <c r="B113" s="7">
        <v>1999</v>
      </c>
      <c r="C113" s="37">
        <v>37.5</v>
      </c>
    </row>
    <row r="114" spans="1:3" x14ac:dyDescent="0.2">
      <c r="A114" s="7" t="s">
        <v>4</v>
      </c>
      <c r="B114" s="7">
        <v>1999</v>
      </c>
      <c r="C114" s="37">
        <v>41.4</v>
      </c>
    </row>
    <row r="115" spans="1:3" x14ac:dyDescent="0.2">
      <c r="A115" s="7" t="s">
        <v>5</v>
      </c>
      <c r="B115" s="7">
        <v>1999</v>
      </c>
      <c r="C115" s="37">
        <v>53</v>
      </c>
    </row>
    <row r="116" spans="1:3" x14ac:dyDescent="0.2">
      <c r="A116" s="7" t="s">
        <v>6</v>
      </c>
      <c r="B116" s="7">
        <v>1999</v>
      </c>
      <c r="C116" s="37">
        <v>62.8</v>
      </c>
    </row>
    <row r="117" spans="1:3" x14ac:dyDescent="0.2">
      <c r="A117" s="7" t="s">
        <v>7</v>
      </c>
      <c r="B117" s="7">
        <v>1999</v>
      </c>
      <c r="C117" s="37">
        <v>70.8</v>
      </c>
    </row>
    <row r="118" spans="1:3" x14ac:dyDescent="0.2">
      <c r="A118" s="7" t="s">
        <v>8</v>
      </c>
      <c r="B118" s="7">
        <v>1999</v>
      </c>
      <c r="C118" s="37">
        <v>78.5</v>
      </c>
    </row>
    <row r="119" spans="1:3" x14ac:dyDescent="0.2">
      <c r="A119" s="7" t="s">
        <v>9</v>
      </c>
      <c r="B119" s="7">
        <v>1999</v>
      </c>
      <c r="C119" s="37">
        <v>75.400000000000006</v>
      </c>
    </row>
    <row r="120" spans="1:3" x14ac:dyDescent="0.2">
      <c r="A120" s="7" t="s">
        <v>10</v>
      </c>
      <c r="B120" s="7">
        <v>1999</v>
      </c>
      <c r="C120" s="37">
        <v>67</v>
      </c>
    </row>
    <row r="121" spans="1:3" x14ac:dyDescent="0.2">
      <c r="A121" s="7" t="s">
        <v>11</v>
      </c>
      <c r="B121" s="7">
        <v>1999</v>
      </c>
      <c r="C121" s="37">
        <v>53.1</v>
      </c>
    </row>
    <row r="122" spans="1:3" x14ac:dyDescent="0.2">
      <c r="A122" s="7" t="s">
        <v>12</v>
      </c>
      <c r="B122" s="7">
        <v>1999</v>
      </c>
      <c r="C122" s="37">
        <v>50.1</v>
      </c>
    </row>
    <row r="123" spans="1:3" x14ac:dyDescent="0.2">
      <c r="A123" s="7" t="s">
        <v>13</v>
      </c>
      <c r="B123" s="7">
        <v>1999</v>
      </c>
      <c r="C123" s="37">
        <v>38.200000000000003</v>
      </c>
    </row>
    <row r="124" spans="1:3" x14ac:dyDescent="0.2">
      <c r="A124" s="7" t="s">
        <v>2</v>
      </c>
      <c r="B124" s="7">
        <v>2000</v>
      </c>
      <c r="C124" s="37">
        <v>32.700000000000003</v>
      </c>
    </row>
    <row r="125" spans="1:3" x14ac:dyDescent="0.2">
      <c r="A125" s="7" t="s">
        <v>3</v>
      </c>
      <c r="B125" s="7">
        <v>2000</v>
      </c>
      <c r="C125" s="37">
        <v>36.799999999999997</v>
      </c>
    </row>
    <row r="126" spans="1:3" x14ac:dyDescent="0.2">
      <c r="A126" s="7" t="s">
        <v>4</v>
      </c>
      <c r="B126" s="7">
        <v>2000</v>
      </c>
      <c r="C126" s="37">
        <v>48.2</v>
      </c>
    </row>
    <row r="127" spans="1:3" x14ac:dyDescent="0.2">
      <c r="A127" s="7" t="s">
        <v>5</v>
      </c>
      <c r="B127" s="7">
        <v>2000</v>
      </c>
      <c r="C127" s="37">
        <v>53.6</v>
      </c>
    </row>
    <row r="128" spans="1:3" x14ac:dyDescent="0.2">
      <c r="A128" s="7" t="s">
        <v>6</v>
      </c>
      <c r="B128" s="7">
        <v>2000</v>
      </c>
      <c r="C128" s="37">
        <v>64.8</v>
      </c>
    </row>
    <row r="129" spans="1:3" x14ac:dyDescent="0.2">
      <c r="A129" s="7" t="s">
        <v>7</v>
      </c>
      <c r="B129" s="7">
        <v>2000</v>
      </c>
      <c r="C129" s="37">
        <v>72.3</v>
      </c>
    </row>
    <row r="130" spans="1:3" x14ac:dyDescent="0.2">
      <c r="A130" s="7" t="s">
        <v>8</v>
      </c>
      <c r="B130" s="7">
        <v>2000</v>
      </c>
      <c r="C130" s="37">
        <v>72.099999999999994</v>
      </c>
    </row>
    <row r="131" spans="1:3" x14ac:dyDescent="0.2">
      <c r="A131" s="7" t="s">
        <v>9</v>
      </c>
      <c r="B131" s="7">
        <v>2000</v>
      </c>
      <c r="C131" s="37">
        <v>73</v>
      </c>
    </row>
    <row r="132" spans="1:3" x14ac:dyDescent="0.2">
      <c r="A132" s="7" t="s">
        <v>10</v>
      </c>
      <c r="B132" s="7">
        <v>2000</v>
      </c>
      <c r="C132" s="37">
        <v>65.2</v>
      </c>
    </row>
    <row r="133" spans="1:3" x14ac:dyDescent="0.2">
      <c r="A133" s="7" t="s">
        <v>11</v>
      </c>
      <c r="B133" s="7">
        <v>2000</v>
      </c>
      <c r="C133" s="37">
        <v>57.2</v>
      </c>
    </row>
    <row r="134" spans="1:3" x14ac:dyDescent="0.2">
      <c r="A134" s="7" t="s">
        <v>12</v>
      </c>
      <c r="B134" s="7">
        <v>2000</v>
      </c>
      <c r="C134" s="37">
        <v>42.9</v>
      </c>
    </row>
    <row r="135" spans="1:3" x14ac:dyDescent="0.2">
      <c r="A135" s="7" t="s">
        <v>13</v>
      </c>
      <c r="B135" s="7">
        <v>2000</v>
      </c>
      <c r="C135" s="37">
        <v>28.1</v>
      </c>
    </row>
    <row r="136" spans="1:3" x14ac:dyDescent="0.2">
      <c r="A136" s="7" t="s">
        <v>2</v>
      </c>
      <c r="B136" s="7">
        <v>2001</v>
      </c>
      <c r="C136" s="37">
        <v>32.299999999999997</v>
      </c>
    </row>
    <row r="137" spans="1:3" x14ac:dyDescent="0.2">
      <c r="A137" s="7" t="s">
        <v>3</v>
      </c>
      <c r="B137" s="7">
        <v>2001</v>
      </c>
      <c r="C137" s="37">
        <v>38.5</v>
      </c>
    </row>
    <row r="138" spans="1:3" x14ac:dyDescent="0.2">
      <c r="A138" s="7" t="s">
        <v>4</v>
      </c>
      <c r="B138" s="7">
        <v>2001</v>
      </c>
      <c r="C138" s="37">
        <v>36.200000000000003</v>
      </c>
    </row>
    <row r="139" spans="1:3" x14ac:dyDescent="0.2">
      <c r="A139" s="7" t="s">
        <v>5</v>
      </c>
      <c r="B139" s="7">
        <v>2001</v>
      </c>
      <c r="C139" s="37">
        <v>55.5</v>
      </c>
    </row>
    <row r="140" spans="1:3" x14ac:dyDescent="0.2">
      <c r="A140" s="7" t="s">
        <v>6</v>
      </c>
      <c r="B140" s="7">
        <v>2001</v>
      </c>
      <c r="C140" s="37">
        <v>60.8</v>
      </c>
    </row>
    <row r="141" spans="1:3" x14ac:dyDescent="0.2">
      <c r="A141" s="7" t="s">
        <v>7</v>
      </c>
      <c r="B141" s="7">
        <v>2001</v>
      </c>
      <c r="C141" s="37">
        <v>69</v>
      </c>
    </row>
    <row r="142" spans="1:3" x14ac:dyDescent="0.2">
      <c r="A142" s="7" t="s">
        <v>8</v>
      </c>
      <c r="B142" s="7">
        <v>2001</v>
      </c>
      <c r="C142" s="37">
        <v>72.2</v>
      </c>
    </row>
    <row r="143" spans="1:3" x14ac:dyDescent="0.2">
      <c r="A143" s="7" t="s">
        <v>9</v>
      </c>
      <c r="B143" s="7">
        <v>2001</v>
      </c>
      <c r="C143" s="37">
        <v>64.099999999999994</v>
      </c>
    </row>
    <row r="144" spans="1:3" x14ac:dyDescent="0.2">
      <c r="A144" s="7" t="s">
        <v>10</v>
      </c>
      <c r="B144" s="7">
        <v>2001</v>
      </c>
      <c r="C144" s="37">
        <v>65.3</v>
      </c>
    </row>
  </sheetData>
  <mergeCells count="3">
    <mergeCell ref="F34:H34"/>
    <mergeCell ref="F14:H14"/>
    <mergeCell ref="F59:H59"/>
  </mergeCells>
  <phoneticPr fontId="0" type="noConversion"/>
  <pageMargins left="0.75" right="0.75" top="1" bottom="1" header="0.5" footer="0.5"/>
  <headerFooter alignWithMargins="0"/>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Q154"/>
  <sheetViews>
    <sheetView showGridLines="0" workbookViewId="0"/>
  </sheetViews>
  <sheetFormatPr defaultRowHeight="12.75" x14ac:dyDescent="0.2"/>
  <cols>
    <col min="1" max="1" width="3.28515625" style="39" customWidth="1"/>
    <col min="2" max="2" width="11.140625" style="39" bestFit="1" customWidth="1"/>
    <col min="3" max="3" width="9.7109375" style="39" bestFit="1" customWidth="1"/>
    <col min="4" max="4" width="17.28515625" style="39" bestFit="1" customWidth="1"/>
    <col min="5" max="5" width="3.28515625" style="39" customWidth="1"/>
    <col min="6" max="6" width="11.140625" style="39" bestFit="1" customWidth="1"/>
    <col min="7" max="7" width="22.7109375" style="39" customWidth="1"/>
    <col min="8" max="8" width="3.28515625" style="39" customWidth="1"/>
    <col min="9" max="16384" width="9.140625" style="39"/>
  </cols>
  <sheetData>
    <row r="1" spans="2:17" s="44" customFormat="1" ht="13.5" thickBot="1" x14ac:dyDescent="0.25"/>
    <row r="2" spans="2:17" s="44" customFormat="1" ht="21" thickBot="1" x14ac:dyDescent="0.25">
      <c r="B2" s="58" t="s">
        <v>142</v>
      </c>
      <c r="C2" s="59"/>
      <c r="D2" s="59"/>
      <c r="E2" s="59"/>
      <c r="F2" s="59"/>
      <c r="G2" s="59"/>
      <c r="H2" s="59"/>
      <c r="I2" s="59"/>
      <c r="J2" s="59"/>
      <c r="K2" s="59"/>
      <c r="L2" s="59"/>
      <c r="M2" s="59"/>
      <c r="N2" s="59"/>
      <c r="O2" s="59"/>
      <c r="P2" s="59"/>
      <c r="Q2" s="60"/>
    </row>
    <row r="3" spans="2:17" s="44" customFormat="1" ht="16.5" thickBot="1" x14ac:dyDescent="0.25">
      <c r="B3" s="55" t="b">
        <v>1</v>
      </c>
      <c r="C3" s="52" t="s">
        <v>143</v>
      </c>
      <c r="D3" s="52"/>
      <c r="E3" s="52"/>
      <c r="F3" s="52"/>
      <c r="G3" s="52"/>
      <c r="H3" s="52"/>
      <c r="I3" s="52"/>
      <c r="J3" s="52"/>
      <c r="K3" s="52"/>
      <c r="L3" s="52"/>
      <c r="M3" s="52"/>
      <c r="N3" s="52"/>
      <c r="O3" s="52"/>
      <c r="P3" s="52"/>
      <c r="Q3" s="61"/>
    </row>
    <row r="4" spans="2:17" s="44" customFormat="1" ht="15" x14ac:dyDescent="0.2">
      <c r="B4" s="56" t="b">
        <v>1</v>
      </c>
      <c r="C4" s="45" t="s">
        <v>144</v>
      </c>
      <c r="D4" s="45"/>
      <c r="E4" s="45"/>
      <c r="F4" s="45"/>
      <c r="G4" s="45"/>
      <c r="H4" s="45"/>
      <c r="I4" s="45"/>
      <c r="J4" s="45"/>
      <c r="K4" s="45"/>
      <c r="L4" s="45"/>
      <c r="M4" s="45"/>
      <c r="N4" s="45"/>
      <c r="O4" s="45"/>
      <c r="P4" s="45"/>
      <c r="Q4" s="49"/>
    </row>
    <row r="5" spans="2:17" s="44" customFormat="1" ht="15" x14ac:dyDescent="0.2">
      <c r="B5" s="56" t="b">
        <v>1</v>
      </c>
      <c r="C5" s="45" t="s">
        <v>145</v>
      </c>
      <c r="D5" s="45"/>
      <c r="E5" s="45"/>
      <c r="F5" s="45"/>
      <c r="G5" s="45"/>
      <c r="H5" s="45"/>
      <c r="I5" s="45"/>
      <c r="J5" s="45"/>
      <c r="K5" s="45"/>
      <c r="L5" s="45"/>
      <c r="M5" s="45"/>
      <c r="N5" s="45"/>
      <c r="O5" s="45"/>
      <c r="P5" s="45"/>
      <c r="Q5" s="49"/>
    </row>
    <row r="6" spans="2:17" s="44" customFormat="1" ht="15.75" thickBot="1" x14ac:dyDescent="0.25">
      <c r="B6" s="56" t="b">
        <v>1</v>
      </c>
      <c r="C6" s="45" t="s">
        <v>140</v>
      </c>
      <c r="D6" s="45"/>
      <c r="E6" s="45"/>
      <c r="F6" s="45"/>
      <c r="G6" s="45"/>
      <c r="H6" s="45"/>
      <c r="I6" s="45"/>
      <c r="J6" s="45"/>
      <c r="K6" s="45"/>
      <c r="L6" s="45"/>
      <c r="M6" s="45"/>
      <c r="N6" s="45"/>
      <c r="O6" s="45"/>
      <c r="P6" s="45"/>
      <c r="Q6" s="49"/>
    </row>
    <row r="7" spans="2:17" s="44" customFormat="1" ht="16.5" thickBot="1" x14ac:dyDescent="0.25">
      <c r="B7" s="55" t="b">
        <v>1</v>
      </c>
      <c r="C7" s="53" t="s">
        <v>24</v>
      </c>
      <c r="D7" s="53"/>
      <c r="E7" s="53"/>
      <c r="F7" s="53"/>
      <c r="G7" s="53"/>
      <c r="H7" s="53"/>
      <c r="I7" s="53"/>
      <c r="J7" s="53"/>
      <c r="K7" s="53"/>
      <c r="L7" s="53"/>
      <c r="M7" s="53"/>
      <c r="N7" s="53"/>
      <c r="O7" s="53"/>
      <c r="P7" s="53"/>
      <c r="Q7" s="54"/>
    </row>
    <row r="8" spans="2:17" s="44" customFormat="1" ht="15" x14ac:dyDescent="0.2">
      <c r="B8" s="56" t="b">
        <v>1</v>
      </c>
      <c r="C8" s="45" t="s">
        <v>148</v>
      </c>
      <c r="D8" s="45"/>
      <c r="E8" s="45"/>
      <c r="F8" s="45"/>
      <c r="G8" s="45"/>
      <c r="H8" s="45"/>
      <c r="I8" s="45"/>
      <c r="J8" s="45"/>
      <c r="K8" s="45"/>
      <c r="L8" s="45"/>
      <c r="M8" s="45"/>
      <c r="N8" s="45"/>
      <c r="O8" s="45"/>
      <c r="P8" s="45"/>
      <c r="Q8" s="49"/>
    </row>
    <row r="9" spans="2:17" s="44" customFormat="1" ht="15" x14ac:dyDescent="0.2">
      <c r="B9" s="56" t="b">
        <v>1</v>
      </c>
      <c r="C9" s="45" t="s">
        <v>141</v>
      </c>
      <c r="D9" s="45"/>
      <c r="E9" s="45"/>
      <c r="F9" s="45"/>
      <c r="G9" s="45"/>
      <c r="H9" s="45"/>
      <c r="I9" s="45"/>
      <c r="J9" s="45"/>
      <c r="K9" s="45"/>
      <c r="L9" s="45"/>
      <c r="M9" s="45"/>
      <c r="N9" s="45"/>
      <c r="O9" s="45"/>
      <c r="P9" s="45"/>
      <c r="Q9" s="49"/>
    </row>
    <row r="10" spans="2:17" s="44" customFormat="1" ht="15" x14ac:dyDescent="0.2">
      <c r="B10" s="56" t="b">
        <v>1</v>
      </c>
      <c r="C10" s="45" t="s">
        <v>146</v>
      </c>
      <c r="D10" s="45"/>
      <c r="E10" s="45"/>
      <c r="F10" s="45"/>
      <c r="G10" s="45"/>
      <c r="H10" s="45"/>
      <c r="I10" s="45"/>
      <c r="J10" s="45"/>
      <c r="K10" s="45"/>
      <c r="L10" s="45"/>
      <c r="M10" s="45"/>
      <c r="N10" s="45"/>
      <c r="O10" s="45"/>
      <c r="P10" s="45"/>
      <c r="Q10" s="49"/>
    </row>
    <row r="11" spans="2:17" s="44" customFormat="1" ht="15.75" thickBot="1" x14ac:dyDescent="0.25">
      <c r="B11" s="57" t="b">
        <v>1</v>
      </c>
      <c r="C11" s="50" t="s">
        <v>147</v>
      </c>
      <c r="D11" s="50"/>
      <c r="E11" s="50"/>
      <c r="F11" s="50"/>
      <c r="G11" s="50"/>
      <c r="H11" s="50"/>
      <c r="I11" s="50"/>
      <c r="J11" s="50"/>
      <c r="K11" s="50"/>
      <c r="L11" s="50"/>
      <c r="M11" s="50"/>
      <c r="N11" s="50"/>
      <c r="O11" s="50"/>
      <c r="P11" s="50"/>
      <c r="Q11" s="51"/>
    </row>
    <row r="13" spans="2:17" x14ac:dyDescent="0.2">
      <c r="B13" s="39" t="s">
        <v>14</v>
      </c>
      <c r="C13" s="39" t="s">
        <v>0</v>
      </c>
      <c r="D13" s="39" t="s">
        <v>1</v>
      </c>
      <c r="F13" s="42" t="s">
        <v>14</v>
      </c>
      <c r="G13" s="42" t="s">
        <v>139</v>
      </c>
    </row>
    <row r="14" spans="2:17" x14ac:dyDescent="0.2">
      <c r="B14" s="39" t="s">
        <v>5</v>
      </c>
      <c r="C14" s="39">
        <v>1990</v>
      </c>
      <c r="D14" s="39">
        <v>54.3</v>
      </c>
      <c r="F14" s="42" t="s">
        <v>2</v>
      </c>
      <c r="G14" s="43">
        <f>AVERAGEIF(Table1[Month],Table2[[#This Row],[Month]],Table1[Temperature])</f>
        <v>34.366666666666667</v>
      </c>
    </row>
    <row r="15" spans="2:17" x14ac:dyDescent="0.2">
      <c r="B15" s="39" t="s">
        <v>5</v>
      </c>
      <c r="C15" s="39">
        <v>1991</v>
      </c>
      <c r="D15" s="39">
        <v>56</v>
      </c>
      <c r="F15" s="42" t="s">
        <v>3</v>
      </c>
      <c r="G15" s="43">
        <f>AVERAGEIF(Table1[Month],Table2[[#This Row],[Month]],Table1[Temperature])</f>
        <v>37.083333333333336</v>
      </c>
    </row>
    <row r="16" spans="2:17" x14ac:dyDescent="0.2">
      <c r="B16" s="39" t="s">
        <v>5</v>
      </c>
      <c r="C16" s="39">
        <v>1992</v>
      </c>
      <c r="D16" s="39">
        <v>53.1</v>
      </c>
      <c r="F16" s="42" t="s">
        <v>4</v>
      </c>
      <c r="G16" s="43">
        <f>AVERAGEIF(Table1[Month],Table2[[#This Row],[Month]],Table1[Temperature])</f>
        <v>43.316666666666663</v>
      </c>
    </row>
    <row r="17" spans="2:7" x14ac:dyDescent="0.2">
      <c r="B17" s="39" t="s">
        <v>5</v>
      </c>
      <c r="C17" s="39">
        <v>1993</v>
      </c>
      <c r="D17" s="39">
        <v>52.6</v>
      </c>
      <c r="F17" s="42" t="s">
        <v>5</v>
      </c>
      <c r="G17" s="43">
        <f>AVERAGEIF(Table1[Month],Table2[[#This Row],[Month]],Table1[Temperature])</f>
        <v>54.216666666666669</v>
      </c>
    </row>
    <row r="18" spans="2:7" x14ac:dyDescent="0.2">
      <c r="B18" s="39" t="s">
        <v>5</v>
      </c>
      <c r="C18" s="39">
        <v>1994</v>
      </c>
      <c r="D18" s="39">
        <v>60.1</v>
      </c>
      <c r="F18" s="42" t="s">
        <v>6</v>
      </c>
      <c r="G18" s="43">
        <f>AVERAGEIF(Table1[Month],Table2[[#This Row],[Month]],Table1[Temperature])</f>
        <v>62.54999999999999</v>
      </c>
    </row>
    <row r="19" spans="2:7" x14ac:dyDescent="0.2">
      <c r="B19" s="39" t="s">
        <v>5</v>
      </c>
      <c r="C19" s="39">
        <v>1995</v>
      </c>
      <c r="D19" s="39">
        <v>52.6</v>
      </c>
      <c r="F19" s="42" t="s">
        <v>7</v>
      </c>
      <c r="G19" s="43">
        <f>AVERAGEIF(Table1[Month],Table2[[#This Row],[Month]],Table1[Temperature])</f>
        <v>71.408333333333317</v>
      </c>
    </row>
    <row r="20" spans="2:7" x14ac:dyDescent="0.2">
      <c r="B20" s="39" t="s">
        <v>5</v>
      </c>
      <c r="C20" s="39">
        <v>1996</v>
      </c>
      <c r="D20" s="39">
        <v>54.6</v>
      </c>
      <c r="F20" s="42" t="s">
        <v>8</v>
      </c>
      <c r="G20" s="43">
        <f>AVERAGEIF(Table1[Month],Table2[[#This Row],[Month]],Table1[Temperature])</f>
        <v>76.24166666666666</v>
      </c>
    </row>
    <row r="21" spans="2:7" x14ac:dyDescent="0.2">
      <c r="B21" s="39" t="s">
        <v>5</v>
      </c>
      <c r="C21" s="39">
        <v>1997</v>
      </c>
      <c r="D21" s="39">
        <v>50.3</v>
      </c>
      <c r="F21" s="42" t="s">
        <v>9</v>
      </c>
      <c r="G21" s="43">
        <f>AVERAGEIF(Table1[Month],Table2[[#This Row],[Month]],Table1[Temperature])</f>
        <v>73.775000000000006</v>
      </c>
    </row>
    <row r="22" spans="2:7" x14ac:dyDescent="0.2">
      <c r="B22" s="39" t="s">
        <v>5</v>
      </c>
      <c r="C22" s="39">
        <v>1998</v>
      </c>
      <c r="D22" s="39">
        <v>54.9</v>
      </c>
      <c r="F22" s="42" t="s">
        <v>10</v>
      </c>
      <c r="G22" s="43">
        <f>AVERAGEIF(Table1[Month],Table2[[#This Row],[Month]],Table1[Temperature])</f>
        <v>67.05</v>
      </c>
    </row>
    <row r="23" spans="2:7" x14ac:dyDescent="0.2">
      <c r="B23" s="39" t="s">
        <v>5</v>
      </c>
      <c r="C23" s="39">
        <v>1999</v>
      </c>
      <c r="D23" s="39">
        <v>53</v>
      </c>
      <c r="F23" s="42" t="s">
        <v>11</v>
      </c>
      <c r="G23" s="43">
        <f>AVERAGEIF(Table1[Month],Table2[[#This Row],[Month]],Table1[Temperature])</f>
        <v>55.43636363636363</v>
      </c>
    </row>
    <row r="24" spans="2:7" x14ac:dyDescent="0.2">
      <c r="B24" s="39" t="s">
        <v>5</v>
      </c>
      <c r="C24" s="39">
        <v>2000</v>
      </c>
      <c r="D24" s="39">
        <v>53.6</v>
      </c>
      <c r="F24" s="42" t="s">
        <v>12</v>
      </c>
      <c r="G24" s="43">
        <f>AVERAGEIF(Table1[Month],Table2[[#This Row],[Month]],Table1[Temperature])</f>
        <v>45.054545454545462</v>
      </c>
    </row>
    <row r="25" spans="2:7" x14ac:dyDescent="0.2">
      <c r="B25" s="39" t="s">
        <v>5</v>
      </c>
      <c r="C25" s="39">
        <v>2001</v>
      </c>
      <c r="D25" s="39">
        <v>55.5</v>
      </c>
      <c r="F25" s="42" t="s">
        <v>13</v>
      </c>
      <c r="G25" s="43">
        <f>AVERAGEIF(Table1[Month],Table2[[#This Row],[Month]],Table1[Temperature])</f>
        <v>36.963636363636361</v>
      </c>
    </row>
    <row r="26" spans="2:7" x14ac:dyDescent="0.2">
      <c r="B26" s="39" t="s">
        <v>9</v>
      </c>
      <c r="C26" s="39">
        <v>1990</v>
      </c>
      <c r="D26" s="39">
        <v>73.8</v>
      </c>
    </row>
    <row r="27" spans="2:7" x14ac:dyDescent="0.2">
      <c r="B27" s="39" t="s">
        <v>9</v>
      </c>
      <c r="C27" s="39">
        <v>1991</v>
      </c>
      <c r="D27" s="39">
        <v>77</v>
      </c>
    </row>
    <row r="28" spans="2:7" x14ac:dyDescent="0.2">
      <c r="B28" s="39" t="s">
        <v>9</v>
      </c>
      <c r="C28" s="39">
        <v>1992</v>
      </c>
      <c r="D28" s="39">
        <v>70.400000000000006</v>
      </c>
    </row>
    <row r="29" spans="2:7" x14ac:dyDescent="0.2">
      <c r="B29" s="39" t="s">
        <v>9</v>
      </c>
      <c r="C29" s="39">
        <v>1993</v>
      </c>
      <c r="D29" s="39">
        <v>78</v>
      </c>
    </row>
    <row r="30" spans="2:7" x14ac:dyDescent="0.2">
      <c r="B30" s="39" t="s">
        <v>9</v>
      </c>
      <c r="C30" s="39">
        <v>1994</v>
      </c>
      <c r="D30" s="39">
        <v>73.8</v>
      </c>
    </row>
    <row r="31" spans="2:7" x14ac:dyDescent="0.2">
      <c r="B31" s="39" t="s">
        <v>9</v>
      </c>
      <c r="C31" s="39">
        <v>1995</v>
      </c>
      <c r="D31" s="39">
        <v>77.599999999999994</v>
      </c>
    </row>
    <row r="32" spans="2:7" x14ac:dyDescent="0.2">
      <c r="B32" s="39" t="s">
        <v>9</v>
      </c>
      <c r="C32" s="39">
        <v>1996</v>
      </c>
      <c r="D32" s="39">
        <v>72.7</v>
      </c>
    </row>
    <row r="33" spans="2:4" x14ac:dyDescent="0.2">
      <c r="B33" s="39" t="s">
        <v>9</v>
      </c>
      <c r="C33" s="39">
        <v>1997</v>
      </c>
      <c r="D33" s="39">
        <v>73.3</v>
      </c>
    </row>
    <row r="34" spans="2:4" x14ac:dyDescent="0.2">
      <c r="B34" s="39" t="s">
        <v>9</v>
      </c>
      <c r="C34" s="39">
        <v>1998</v>
      </c>
      <c r="D34" s="39">
        <v>76.2</v>
      </c>
    </row>
    <row r="35" spans="2:4" x14ac:dyDescent="0.2">
      <c r="B35" s="39" t="s">
        <v>9</v>
      </c>
      <c r="C35" s="39">
        <v>1999</v>
      </c>
      <c r="D35" s="39">
        <v>75.400000000000006</v>
      </c>
    </row>
    <row r="36" spans="2:4" x14ac:dyDescent="0.2">
      <c r="B36" s="39" t="s">
        <v>9</v>
      </c>
      <c r="C36" s="39">
        <v>2000</v>
      </c>
      <c r="D36" s="39">
        <v>73</v>
      </c>
    </row>
    <row r="37" spans="2:4" x14ac:dyDescent="0.2">
      <c r="B37" s="39" t="s">
        <v>9</v>
      </c>
      <c r="C37" s="39">
        <v>2001</v>
      </c>
      <c r="D37" s="39">
        <v>64.099999999999994</v>
      </c>
    </row>
    <row r="38" spans="2:4" x14ac:dyDescent="0.2">
      <c r="B38" s="39" t="s">
        <v>13</v>
      </c>
      <c r="C38" s="39">
        <v>1990</v>
      </c>
      <c r="D38" s="39">
        <v>41.3</v>
      </c>
    </row>
    <row r="39" spans="2:4" x14ac:dyDescent="0.2">
      <c r="B39" s="39" t="s">
        <v>13</v>
      </c>
      <c r="C39" s="39">
        <v>1991</v>
      </c>
      <c r="D39" s="39">
        <v>38.5</v>
      </c>
    </row>
    <row r="40" spans="2:4" x14ac:dyDescent="0.2">
      <c r="B40" s="39" t="s">
        <v>13</v>
      </c>
      <c r="C40" s="39">
        <v>1992</v>
      </c>
      <c r="D40" s="39">
        <v>36.799999999999997</v>
      </c>
    </row>
    <row r="41" spans="2:4" x14ac:dyDescent="0.2">
      <c r="B41" s="39" t="s">
        <v>13</v>
      </c>
      <c r="C41" s="39">
        <v>1993</v>
      </c>
      <c r="D41" s="39">
        <v>34</v>
      </c>
    </row>
    <row r="42" spans="2:4" x14ac:dyDescent="0.2">
      <c r="B42" s="39" t="s">
        <v>13</v>
      </c>
      <c r="C42" s="39">
        <v>1994</v>
      </c>
      <c r="D42" s="39">
        <v>40.299999999999997</v>
      </c>
    </row>
    <row r="43" spans="2:4" x14ac:dyDescent="0.2">
      <c r="B43" s="39" t="s">
        <v>13</v>
      </c>
      <c r="C43" s="39">
        <v>1995</v>
      </c>
      <c r="D43" s="39">
        <v>33</v>
      </c>
    </row>
    <row r="44" spans="2:4" x14ac:dyDescent="0.2">
      <c r="B44" s="39" t="s">
        <v>13</v>
      </c>
      <c r="C44" s="39">
        <v>1996</v>
      </c>
      <c r="D44" s="39">
        <v>38.299999999999997</v>
      </c>
    </row>
    <row r="45" spans="2:4" x14ac:dyDescent="0.2">
      <c r="B45" s="39" t="s">
        <v>13</v>
      </c>
      <c r="C45" s="39">
        <v>1997</v>
      </c>
      <c r="D45" s="39">
        <v>37.200000000000003</v>
      </c>
    </row>
    <row r="46" spans="2:4" x14ac:dyDescent="0.2">
      <c r="B46" s="39" t="s">
        <v>13</v>
      </c>
      <c r="C46" s="39">
        <v>1998</v>
      </c>
      <c r="D46" s="39">
        <v>40.9</v>
      </c>
    </row>
    <row r="47" spans="2:4" x14ac:dyDescent="0.2">
      <c r="B47" s="39" t="s">
        <v>13</v>
      </c>
      <c r="C47" s="39">
        <v>1999</v>
      </c>
      <c r="D47" s="39">
        <v>38.200000000000003</v>
      </c>
    </row>
    <row r="48" spans="2:4" x14ac:dyDescent="0.2">
      <c r="B48" s="39" t="s">
        <v>13</v>
      </c>
      <c r="C48" s="39">
        <v>2000</v>
      </c>
      <c r="D48" s="39">
        <v>28.1</v>
      </c>
    </row>
    <row r="49" spans="2:4" x14ac:dyDescent="0.2">
      <c r="B49" s="39" t="s">
        <v>3</v>
      </c>
      <c r="C49" s="39">
        <v>1990</v>
      </c>
      <c r="D49" s="39">
        <v>42.2</v>
      </c>
    </row>
    <row r="50" spans="2:4" x14ac:dyDescent="0.2">
      <c r="B50" s="39" t="s">
        <v>3</v>
      </c>
      <c r="C50" s="39">
        <v>1991</v>
      </c>
      <c r="D50" s="39">
        <v>39.5</v>
      </c>
    </row>
    <row r="51" spans="2:4" x14ac:dyDescent="0.2">
      <c r="B51" s="39" t="s">
        <v>3</v>
      </c>
      <c r="C51" s="39">
        <v>1992</v>
      </c>
      <c r="D51" s="39">
        <v>38</v>
      </c>
    </row>
    <row r="52" spans="2:4" x14ac:dyDescent="0.2">
      <c r="B52" s="39" t="s">
        <v>3</v>
      </c>
      <c r="C52" s="39">
        <v>1993</v>
      </c>
      <c r="D52" s="39">
        <v>31.7</v>
      </c>
    </row>
    <row r="53" spans="2:4" x14ac:dyDescent="0.2">
      <c r="B53" s="39" t="s">
        <v>3</v>
      </c>
      <c r="C53" s="39">
        <v>1994</v>
      </c>
      <c r="D53" s="39">
        <v>33.299999999999997</v>
      </c>
    </row>
    <row r="54" spans="2:4" x14ac:dyDescent="0.2">
      <c r="B54" s="39" t="s">
        <v>3</v>
      </c>
      <c r="C54" s="39">
        <v>1995</v>
      </c>
      <c r="D54" s="39">
        <v>31.3</v>
      </c>
    </row>
    <row r="55" spans="2:4" x14ac:dyDescent="0.2">
      <c r="B55" s="39" t="s">
        <v>3</v>
      </c>
      <c r="C55" s="39">
        <v>1996</v>
      </c>
      <c r="D55" s="39">
        <v>34.700000000000003</v>
      </c>
    </row>
    <row r="56" spans="2:4" x14ac:dyDescent="0.2">
      <c r="B56" s="39" t="s">
        <v>3</v>
      </c>
      <c r="C56" s="39">
        <v>1997</v>
      </c>
      <c r="D56" s="39">
        <v>40.5</v>
      </c>
    </row>
    <row r="57" spans="2:4" x14ac:dyDescent="0.2">
      <c r="B57" s="39" t="s">
        <v>3</v>
      </c>
      <c r="C57" s="39">
        <v>1998</v>
      </c>
      <c r="D57" s="39">
        <v>41</v>
      </c>
    </row>
    <row r="58" spans="2:4" x14ac:dyDescent="0.2">
      <c r="B58" s="39" t="s">
        <v>3</v>
      </c>
      <c r="C58" s="39">
        <v>1999</v>
      </c>
      <c r="D58" s="39">
        <v>37.5</v>
      </c>
    </row>
    <row r="59" spans="2:4" x14ac:dyDescent="0.2">
      <c r="B59" s="39" t="s">
        <v>3</v>
      </c>
      <c r="C59" s="39">
        <v>2000</v>
      </c>
      <c r="D59" s="39">
        <v>36.799999999999997</v>
      </c>
    </row>
    <row r="60" spans="2:4" x14ac:dyDescent="0.2">
      <c r="B60" s="39" t="s">
        <v>3</v>
      </c>
      <c r="C60" s="39">
        <v>2001</v>
      </c>
      <c r="D60" s="39">
        <v>38.5</v>
      </c>
    </row>
    <row r="61" spans="2:4" x14ac:dyDescent="0.2">
      <c r="B61" s="39" t="s">
        <v>2</v>
      </c>
      <c r="C61" s="39">
        <v>1990</v>
      </c>
      <c r="D61" s="39">
        <v>40.799999999999997</v>
      </c>
    </row>
    <row r="62" spans="2:4" x14ac:dyDescent="0.2">
      <c r="B62" s="39" t="s">
        <v>2</v>
      </c>
      <c r="C62" s="39">
        <v>1991</v>
      </c>
      <c r="D62" s="39">
        <v>34</v>
      </c>
    </row>
    <row r="63" spans="2:4" x14ac:dyDescent="0.2">
      <c r="B63" s="39" t="s">
        <v>2</v>
      </c>
      <c r="C63" s="39">
        <v>1992</v>
      </c>
      <c r="D63" s="39">
        <v>35</v>
      </c>
    </row>
    <row r="64" spans="2:4" x14ac:dyDescent="0.2">
      <c r="B64" s="39" t="s">
        <v>2</v>
      </c>
      <c r="C64" s="39">
        <v>1993</v>
      </c>
      <c r="D64" s="39">
        <v>36.799999999999997</v>
      </c>
    </row>
    <row r="65" spans="2:4" x14ac:dyDescent="0.2">
      <c r="B65" s="39" t="s">
        <v>2</v>
      </c>
      <c r="C65" s="39">
        <v>1994</v>
      </c>
      <c r="D65" s="39">
        <v>26.1</v>
      </c>
    </row>
    <row r="66" spans="2:4" x14ac:dyDescent="0.2">
      <c r="B66" s="39" t="s">
        <v>2</v>
      </c>
      <c r="C66" s="39">
        <v>1995</v>
      </c>
      <c r="D66" s="39">
        <v>37.200000000000003</v>
      </c>
    </row>
    <row r="67" spans="2:4" x14ac:dyDescent="0.2">
      <c r="B67" s="39" t="s">
        <v>2</v>
      </c>
      <c r="C67" s="39">
        <v>1996</v>
      </c>
      <c r="D67" s="39">
        <v>30</v>
      </c>
    </row>
    <row r="68" spans="2:4" x14ac:dyDescent="0.2">
      <c r="B68" s="39" t="s">
        <v>2</v>
      </c>
      <c r="C68" s="39">
        <v>1997</v>
      </c>
      <c r="D68" s="39">
        <v>32.5</v>
      </c>
    </row>
    <row r="69" spans="2:4" x14ac:dyDescent="0.2">
      <c r="B69" s="39" t="s">
        <v>2</v>
      </c>
      <c r="C69" s="39">
        <v>1998</v>
      </c>
      <c r="D69" s="39">
        <v>40.1</v>
      </c>
    </row>
    <row r="70" spans="2:4" x14ac:dyDescent="0.2">
      <c r="B70" s="39" t="s">
        <v>2</v>
      </c>
      <c r="C70" s="39">
        <v>1999</v>
      </c>
      <c r="D70" s="39">
        <v>34.9</v>
      </c>
    </row>
    <row r="71" spans="2:4" x14ac:dyDescent="0.2">
      <c r="B71" s="39" t="s">
        <v>2</v>
      </c>
      <c r="C71" s="39">
        <v>2000</v>
      </c>
      <c r="D71" s="39">
        <v>32.700000000000003</v>
      </c>
    </row>
    <row r="72" spans="2:4" x14ac:dyDescent="0.2">
      <c r="B72" s="39" t="s">
        <v>2</v>
      </c>
      <c r="C72" s="39">
        <v>2001</v>
      </c>
      <c r="D72" s="39">
        <v>32.299999999999997</v>
      </c>
    </row>
    <row r="73" spans="2:4" x14ac:dyDescent="0.2">
      <c r="B73" s="39" t="s">
        <v>8</v>
      </c>
      <c r="C73" s="39">
        <v>1990</v>
      </c>
      <c r="D73" s="39">
        <v>76.900000000000006</v>
      </c>
    </row>
    <row r="74" spans="2:4" x14ac:dyDescent="0.2">
      <c r="B74" s="39" t="s">
        <v>8</v>
      </c>
      <c r="C74" s="39">
        <v>1991</v>
      </c>
      <c r="D74" s="39">
        <v>77.900000000000006</v>
      </c>
    </row>
    <row r="75" spans="2:4" x14ac:dyDescent="0.2">
      <c r="B75" s="39" t="s">
        <v>8</v>
      </c>
      <c r="C75" s="39">
        <v>1992</v>
      </c>
      <c r="D75" s="39">
        <v>75.900000000000006</v>
      </c>
    </row>
    <row r="76" spans="2:4" x14ac:dyDescent="0.2">
      <c r="B76" s="39" t="s">
        <v>8</v>
      </c>
      <c r="C76" s="39">
        <v>1993</v>
      </c>
      <c r="D76" s="39">
        <v>79.7</v>
      </c>
    </row>
    <row r="77" spans="2:4" x14ac:dyDescent="0.2">
      <c r="B77" s="39" t="s">
        <v>8</v>
      </c>
      <c r="C77" s="39">
        <v>1994</v>
      </c>
      <c r="D77" s="39">
        <v>79.5</v>
      </c>
    </row>
    <row r="78" spans="2:4" x14ac:dyDescent="0.2">
      <c r="B78" s="39" t="s">
        <v>8</v>
      </c>
      <c r="C78" s="39">
        <v>1995</v>
      </c>
      <c r="D78" s="39">
        <v>78.2</v>
      </c>
    </row>
    <row r="79" spans="2:4" x14ac:dyDescent="0.2">
      <c r="B79" s="39" t="s">
        <v>8</v>
      </c>
      <c r="C79" s="39">
        <v>1996</v>
      </c>
      <c r="D79" s="39">
        <v>72.900000000000006</v>
      </c>
    </row>
    <row r="80" spans="2:4" x14ac:dyDescent="0.2">
      <c r="B80" s="39" t="s">
        <v>8</v>
      </c>
      <c r="C80" s="39">
        <v>1997</v>
      </c>
      <c r="D80" s="39">
        <v>75.8</v>
      </c>
    </row>
    <row r="81" spans="2:4" x14ac:dyDescent="0.2">
      <c r="B81" s="39" t="s">
        <v>8</v>
      </c>
      <c r="C81" s="39">
        <v>1998</v>
      </c>
      <c r="D81" s="39">
        <v>75.3</v>
      </c>
    </row>
    <row r="82" spans="2:4" x14ac:dyDescent="0.2">
      <c r="B82" s="39" t="s">
        <v>8</v>
      </c>
      <c r="C82" s="39">
        <v>1999</v>
      </c>
      <c r="D82" s="39">
        <v>78.5</v>
      </c>
    </row>
    <row r="83" spans="2:4" x14ac:dyDescent="0.2">
      <c r="B83" s="39" t="s">
        <v>8</v>
      </c>
      <c r="C83" s="39">
        <v>2000</v>
      </c>
      <c r="D83" s="39">
        <v>72.099999999999994</v>
      </c>
    </row>
    <row r="84" spans="2:4" x14ac:dyDescent="0.2">
      <c r="B84" s="39" t="s">
        <v>8</v>
      </c>
      <c r="C84" s="39">
        <v>2001</v>
      </c>
      <c r="D84" s="39">
        <v>72.2</v>
      </c>
    </row>
    <row r="85" spans="2:4" x14ac:dyDescent="0.2">
      <c r="B85" s="39" t="s">
        <v>7</v>
      </c>
      <c r="C85" s="39">
        <v>1990</v>
      </c>
      <c r="D85" s="39">
        <v>72</v>
      </c>
    </row>
    <row r="86" spans="2:4" x14ac:dyDescent="0.2">
      <c r="B86" s="39" t="s">
        <v>7</v>
      </c>
      <c r="C86" s="39">
        <v>1991</v>
      </c>
      <c r="D86" s="39">
        <v>72.3</v>
      </c>
    </row>
    <row r="87" spans="2:4" x14ac:dyDescent="0.2">
      <c r="B87" s="39" t="s">
        <v>7</v>
      </c>
      <c r="C87" s="39">
        <v>1992</v>
      </c>
      <c r="D87" s="39">
        <v>68.599999999999994</v>
      </c>
    </row>
    <row r="88" spans="2:4" x14ac:dyDescent="0.2">
      <c r="B88" s="39" t="s">
        <v>7</v>
      </c>
      <c r="C88" s="39">
        <v>1993</v>
      </c>
      <c r="D88" s="39">
        <v>72</v>
      </c>
    </row>
    <row r="89" spans="2:4" x14ac:dyDescent="0.2">
      <c r="B89" s="39" t="s">
        <v>7</v>
      </c>
      <c r="C89" s="39">
        <v>1994</v>
      </c>
      <c r="D89" s="39">
        <v>76.099999999999994</v>
      </c>
    </row>
    <row r="90" spans="2:4" x14ac:dyDescent="0.2">
      <c r="B90" s="39" t="s">
        <v>7</v>
      </c>
      <c r="C90" s="39">
        <v>1995</v>
      </c>
      <c r="D90" s="39">
        <v>71.5</v>
      </c>
    </row>
    <row r="91" spans="2:4" x14ac:dyDescent="0.2">
      <c r="B91" s="39" t="s">
        <v>7</v>
      </c>
      <c r="C91" s="39">
        <v>1996</v>
      </c>
      <c r="D91" s="39">
        <v>72.8</v>
      </c>
    </row>
    <row r="92" spans="2:4" x14ac:dyDescent="0.2">
      <c r="B92" s="39" t="s">
        <v>7</v>
      </c>
      <c r="C92" s="39">
        <v>1997</v>
      </c>
      <c r="D92" s="39">
        <v>69.099999999999994</v>
      </c>
    </row>
    <row r="93" spans="2:4" x14ac:dyDescent="0.2">
      <c r="B93" s="39" t="s">
        <v>7</v>
      </c>
      <c r="C93" s="39">
        <v>1998</v>
      </c>
      <c r="D93" s="39">
        <v>70.400000000000006</v>
      </c>
    </row>
    <row r="94" spans="2:4" x14ac:dyDescent="0.2">
      <c r="B94" s="39" t="s">
        <v>7</v>
      </c>
      <c r="C94" s="39">
        <v>1999</v>
      </c>
      <c r="D94" s="39">
        <v>70.8</v>
      </c>
    </row>
    <row r="95" spans="2:4" x14ac:dyDescent="0.2">
      <c r="B95" s="39" t="s">
        <v>7</v>
      </c>
      <c r="C95" s="39">
        <v>2000</v>
      </c>
      <c r="D95" s="39">
        <v>72.3</v>
      </c>
    </row>
    <row r="96" spans="2:4" x14ac:dyDescent="0.2">
      <c r="B96" s="39" t="s">
        <v>7</v>
      </c>
      <c r="C96" s="39">
        <v>2001</v>
      </c>
      <c r="D96" s="39">
        <v>69</v>
      </c>
    </row>
    <row r="97" spans="2:4" x14ac:dyDescent="0.2">
      <c r="B97" s="39" t="s">
        <v>4</v>
      </c>
      <c r="C97" s="39">
        <v>1990</v>
      </c>
      <c r="D97" s="39">
        <v>48.1</v>
      </c>
    </row>
    <row r="98" spans="2:4" x14ac:dyDescent="0.2">
      <c r="B98" s="39" t="s">
        <v>4</v>
      </c>
      <c r="C98" s="39">
        <v>1991</v>
      </c>
      <c r="D98" s="39">
        <v>46.1</v>
      </c>
    </row>
    <row r="99" spans="2:4" x14ac:dyDescent="0.2">
      <c r="B99" s="39" t="s">
        <v>4</v>
      </c>
      <c r="C99" s="39">
        <v>1992</v>
      </c>
      <c r="D99" s="39">
        <v>41.9</v>
      </c>
    </row>
    <row r="100" spans="2:4" x14ac:dyDescent="0.2">
      <c r="B100" s="39" t="s">
        <v>4</v>
      </c>
      <c r="C100" s="39">
        <v>1993</v>
      </c>
      <c r="D100" s="39">
        <v>39.299999999999997</v>
      </c>
    </row>
    <row r="101" spans="2:4" x14ac:dyDescent="0.2">
      <c r="B101" s="39" t="s">
        <v>4</v>
      </c>
      <c r="C101" s="39">
        <v>1994</v>
      </c>
      <c r="D101" s="39">
        <v>42.7</v>
      </c>
    </row>
    <row r="102" spans="2:4" x14ac:dyDescent="0.2">
      <c r="B102" s="39" t="s">
        <v>4</v>
      </c>
      <c r="C102" s="39">
        <v>1995</v>
      </c>
      <c r="D102" s="39">
        <v>46.1</v>
      </c>
    </row>
    <row r="103" spans="2:4" x14ac:dyDescent="0.2">
      <c r="B103" s="39" t="s">
        <v>4</v>
      </c>
      <c r="C103" s="39">
        <v>1996</v>
      </c>
      <c r="D103" s="39">
        <v>39.700000000000003</v>
      </c>
    </row>
    <row r="104" spans="2:4" x14ac:dyDescent="0.2">
      <c r="B104" s="39" t="s">
        <v>4</v>
      </c>
      <c r="C104" s="39">
        <v>1997</v>
      </c>
      <c r="D104" s="39">
        <v>44.6</v>
      </c>
    </row>
    <row r="105" spans="2:4" x14ac:dyDescent="0.2">
      <c r="B105" s="39" t="s">
        <v>4</v>
      </c>
      <c r="C105" s="39">
        <v>1998</v>
      </c>
      <c r="D105" s="39">
        <v>45.5</v>
      </c>
    </row>
    <row r="106" spans="2:4" x14ac:dyDescent="0.2">
      <c r="B106" s="39" t="s">
        <v>4</v>
      </c>
      <c r="C106" s="39">
        <v>1999</v>
      </c>
      <c r="D106" s="39">
        <v>41.4</v>
      </c>
    </row>
    <row r="107" spans="2:4" x14ac:dyDescent="0.2">
      <c r="B107" s="39" t="s">
        <v>4</v>
      </c>
      <c r="C107" s="39">
        <v>2000</v>
      </c>
      <c r="D107" s="39">
        <v>48.2</v>
      </c>
    </row>
    <row r="108" spans="2:4" x14ac:dyDescent="0.2">
      <c r="B108" s="39" t="s">
        <v>4</v>
      </c>
      <c r="C108" s="39">
        <v>2001</v>
      </c>
      <c r="D108" s="39">
        <v>36.200000000000003</v>
      </c>
    </row>
    <row r="109" spans="2:4" x14ac:dyDescent="0.2">
      <c r="B109" s="39" t="s">
        <v>6</v>
      </c>
      <c r="C109" s="39">
        <v>1990</v>
      </c>
      <c r="D109" s="39">
        <v>61.6</v>
      </c>
    </row>
    <row r="110" spans="2:4" x14ac:dyDescent="0.2">
      <c r="B110" s="39" t="s">
        <v>6</v>
      </c>
      <c r="C110" s="39">
        <v>1991</v>
      </c>
      <c r="D110" s="39">
        <v>69.3</v>
      </c>
    </row>
    <row r="111" spans="2:4" x14ac:dyDescent="0.2">
      <c r="B111" s="39" t="s">
        <v>6</v>
      </c>
      <c r="C111" s="39">
        <v>1992</v>
      </c>
      <c r="D111" s="39">
        <v>59.7</v>
      </c>
    </row>
    <row r="112" spans="2:4" x14ac:dyDescent="0.2">
      <c r="B112" s="39" t="s">
        <v>6</v>
      </c>
      <c r="C112" s="39">
        <v>1993</v>
      </c>
      <c r="D112" s="39">
        <v>64.5</v>
      </c>
    </row>
    <row r="113" spans="2:4" x14ac:dyDescent="0.2">
      <c r="B113" s="39" t="s">
        <v>6</v>
      </c>
      <c r="C113" s="39">
        <v>1994</v>
      </c>
      <c r="D113" s="39">
        <v>59.9</v>
      </c>
    </row>
    <row r="114" spans="2:4" x14ac:dyDescent="0.2">
      <c r="B114" s="39" t="s">
        <v>6</v>
      </c>
      <c r="C114" s="39">
        <v>1995</v>
      </c>
      <c r="D114" s="39">
        <v>62.7</v>
      </c>
    </row>
    <row r="115" spans="2:4" x14ac:dyDescent="0.2">
      <c r="B115" s="39" t="s">
        <v>6</v>
      </c>
      <c r="C115" s="39">
        <v>1996</v>
      </c>
      <c r="D115" s="39">
        <v>59.7</v>
      </c>
    </row>
    <row r="116" spans="2:4" x14ac:dyDescent="0.2">
      <c r="B116" s="39" t="s">
        <v>6</v>
      </c>
      <c r="C116" s="39">
        <v>1997</v>
      </c>
      <c r="D116" s="39">
        <v>58.8</v>
      </c>
    </row>
    <row r="117" spans="2:4" x14ac:dyDescent="0.2">
      <c r="B117" s="39" t="s">
        <v>6</v>
      </c>
      <c r="C117" s="39">
        <v>1998</v>
      </c>
      <c r="D117" s="39">
        <v>66</v>
      </c>
    </row>
    <row r="118" spans="2:4" x14ac:dyDescent="0.2">
      <c r="B118" s="39" t="s">
        <v>6</v>
      </c>
      <c r="C118" s="39">
        <v>1999</v>
      </c>
      <c r="D118" s="39">
        <v>62.8</v>
      </c>
    </row>
    <row r="119" spans="2:4" x14ac:dyDescent="0.2">
      <c r="B119" s="39" t="s">
        <v>6</v>
      </c>
      <c r="C119" s="39">
        <v>2000</v>
      </c>
      <c r="D119" s="39">
        <v>64.8</v>
      </c>
    </row>
    <row r="120" spans="2:4" x14ac:dyDescent="0.2">
      <c r="B120" s="39" t="s">
        <v>6</v>
      </c>
      <c r="C120" s="39">
        <v>2001</v>
      </c>
      <c r="D120" s="39">
        <v>60.8</v>
      </c>
    </row>
    <row r="121" spans="2:4" x14ac:dyDescent="0.2">
      <c r="B121" s="39" t="s">
        <v>12</v>
      </c>
      <c r="C121" s="39">
        <v>1990</v>
      </c>
      <c r="D121" s="39">
        <v>48.6</v>
      </c>
    </row>
    <row r="122" spans="2:4" x14ac:dyDescent="0.2">
      <c r="B122" s="39" t="s">
        <v>12</v>
      </c>
      <c r="C122" s="39">
        <v>1991</v>
      </c>
      <c r="D122" s="39">
        <v>45.7</v>
      </c>
    </row>
    <row r="123" spans="2:4" x14ac:dyDescent="0.2">
      <c r="B123" s="39" t="s">
        <v>12</v>
      </c>
      <c r="C123" s="39">
        <v>1992</v>
      </c>
      <c r="D123" s="39">
        <v>45.7</v>
      </c>
    </row>
    <row r="124" spans="2:4" x14ac:dyDescent="0.2">
      <c r="B124" s="39" t="s">
        <v>12</v>
      </c>
      <c r="C124" s="39">
        <v>1993</v>
      </c>
      <c r="D124" s="39">
        <v>45.3</v>
      </c>
    </row>
    <row r="125" spans="2:4" x14ac:dyDescent="0.2">
      <c r="B125" s="39" t="s">
        <v>12</v>
      </c>
      <c r="C125" s="39">
        <v>1994</v>
      </c>
      <c r="D125" s="39">
        <v>49.1</v>
      </c>
    </row>
    <row r="126" spans="2:4" x14ac:dyDescent="0.2">
      <c r="B126" s="39" t="s">
        <v>12</v>
      </c>
      <c r="C126" s="39">
        <v>1995</v>
      </c>
      <c r="D126" s="39">
        <v>39.700000000000003</v>
      </c>
    </row>
    <row r="127" spans="2:4" x14ac:dyDescent="0.2">
      <c r="B127" s="39" t="s">
        <v>12</v>
      </c>
      <c r="C127" s="39">
        <v>1996</v>
      </c>
      <c r="D127" s="39">
        <v>39.299999999999997</v>
      </c>
    </row>
    <row r="128" spans="2:4" x14ac:dyDescent="0.2">
      <c r="B128" s="39" t="s">
        <v>12</v>
      </c>
      <c r="C128" s="39">
        <v>1997</v>
      </c>
      <c r="D128" s="39">
        <v>43.6</v>
      </c>
    </row>
    <row r="129" spans="2:4" x14ac:dyDescent="0.2">
      <c r="B129" s="39" t="s">
        <v>12</v>
      </c>
      <c r="C129" s="39">
        <v>1998</v>
      </c>
      <c r="D129" s="39">
        <v>45.6</v>
      </c>
    </row>
    <row r="130" spans="2:4" x14ac:dyDescent="0.2">
      <c r="B130" s="39" t="s">
        <v>12</v>
      </c>
      <c r="C130" s="39">
        <v>1999</v>
      </c>
      <c r="D130" s="39">
        <v>50.1</v>
      </c>
    </row>
    <row r="131" spans="2:4" x14ac:dyDescent="0.2">
      <c r="B131" s="39" t="s">
        <v>12</v>
      </c>
      <c r="C131" s="39">
        <v>2000</v>
      </c>
      <c r="D131" s="39">
        <v>42.9</v>
      </c>
    </row>
    <row r="132" spans="2:4" x14ac:dyDescent="0.2">
      <c r="B132" s="39" t="s">
        <v>11</v>
      </c>
      <c r="C132" s="39">
        <v>1990</v>
      </c>
      <c r="D132" s="39">
        <v>58.7</v>
      </c>
    </row>
    <row r="133" spans="2:4" x14ac:dyDescent="0.2">
      <c r="B133" s="39" t="s">
        <v>11</v>
      </c>
      <c r="C133" s="39">
        <v>1991</v>
      </c>
      <c r="D133" s="39">
        <v>56.6</v>
      </c>
    </row>
    <row r="134" spans="2:4" x14ac:dyDescent="0.2">
      <c r="B134" s="39" t="s">
        <v>11</v>
      </c>
      <c r="C134" s="39">
        <v>1992</v>
      </c>
      <c r="D134" s="39">
        <v>52.2</v>
      </c>
    </row>
    <row r="135" spans="2:4" x14ac:dyDescent="0.2">
      <c r="B135" s="39" t="s">
        <v>11</v>
      </c>
      <c r="C135" s="39">
        <v>1993</v>
      </c>
      <c r="D135" s="39">
        <v>54.2</v>
      </c>
    </row>
    <row r="136" spans="2:4" x14ac:dyDescent="0.2">
      <c r="B136" s="39" t="s">
        <v>11</v>
      </c>
      <c r="C136" s="39">
        <v>1994</v>
      </c>
      <c r="D136" s="39">
        <v>53.9</v>
      </c>
    </row>
    <row r="137" spans="2:4" x14ac:dyDescent="0.2">
      <c r="B137" s="39" t="s">
        <v>11</v>
      </c>
      <c r="C137" s="39">
        <v>1995</v>
      </c>
      <c r="D137" s="39">
        <v>58.3</v>
      </c>
    </row>
    <row r="138" spans="2:4" x14ac:dyDescent="0.2">
      <c r="B138" s="39" t="s">
        <v>11</v>
      </c>
      <c r="C138" s="39">
        <v>1996</v>
      </c>
      <c r="D138" s="39">
        <v>55.7</v>
      </c>
    </row>
    <row r="139" spans="2:4" x14ac:dyDescent="0.2">
      <c r="B139" s="39" t="s">
        <v>11</v>
      </c>
      <c r="C139" s="39">
        <v>1997</v>
      </c>
      <c r="D139" s="39">
        <v>53.7</v>
      </c>
    </row>
    <row r="140" spans="2:4" x14ac:dyDescent="0.2">
      <c r="B140" s="39" t="s">
        <v>11</v>
      </c>
      <c r="C140" s="39">
        <v>1998</v>
      </c>
      <c r="D140" s="39">
        <v>56.2</v>
      </c>
    </row>
    <row r="141" spans="2:4" x14ac:dyDescent="0.2">
      <c r="B141" s="39" t="s">
        <v>11</v>
      </c>
      <c r="C141" s="39">
        <v>1999</v>
      </c>
      <c r="D141" s="39">
        <v>53.1</v>
      </c>
    </row>
    <row r="142" spans="2:4" x14ac:dyDescent="0.2">
      <c r="B142" s="39" t="s">
        <v>11</v>
      </c>
      <c r="C142" s="39">
        <v>2000</v>
      </c>
      <c r="D142" s="39">
        <v>57.2</v>
      </c>
    </row>
    <row r="143" spans="2:4" x14ac:dyDescent="0.2">
      <c r="B143" s="39" t="s">
        <v>10</v>
      </c>
      <c r="C143" s="39">
        <v>1990</v>
      </c>
      <c r="D143" s="39">
        <v>66.099999999999994</v>
      </c>
    </row>
    <row r="144" spans="2:4" x14ac:dyDescent="0.2">
      <c r="B144" s="39" t="s">
        <v>10</v>
      </c>
      <c r="C144" s="39">
        <v>1991</v>
      </c>
      <c r="D144" s="39">
        <v>67.599999999999994</v>
      </c>
    </row>
    <row r="145" spans="2:4" x14ac:dyDescent="0.2">
      <c r="B145" s="39" t="s">
        <v>10</v>
      </c>
      <c r="C145" s="39">
        <v>1992</v>
      </c>
      <c r="D145" s="39">
        <v>66</v>
      </c>
    </row>
    <row r="146" spans="2:4" x14ac:dyDescent="0.2">
      <c r="B146" s="39" t="s">
        <v>10</v>
      </c>
      <c r="C146" s="39">
        <v>1993</v>
      </c>
      <c r="D146" s="39">
        <v>68.7</v>
      </c>
    </row>
    <row r="147" spans="2:4" x14ac:dyDescent="0.2">
      <c r="B147" s="39" t="s">
        <v>10</v>
      </c>
      <c r="C147" s="39">
        <v>1994</v>
      </c>
      <c r="D147" s="39">
        <v>66.7</v>
      </c>
    </row>
    <row r="148" spans="2:4" x14ac:dyDescent="0.2">
      <c r="B148" s="39" t="s">
        <v>10</v>
      </c>
      <c r="C148" s="39">
        <v>1995</v>
      </c>
      <c r="D148" s="39">
        <v>67.099999999999994</v>
      </c>
    </row>
    <row r="149" spans="2:4" x14ac:dyDescent="0.2">
      <c r="B149" s="39" t="s">
        <v>10</v>
      </c>
      <c r="C149" s="39">
        <v>1996</v>
      </c>
      <c r="D149" s="39">
        <v>67.099999999999994</v>
      </c>
    </row>
    <row r="150" spans="2:4" x14ac:dyDescent="0.2">
      <c r="B150" s="39" t="s">
        <v>10</v>
      </c>
      <c r="C150" s="39">
        <v>1997</v>
      </c>
      <c r="D150" s="39">
        <v>65.099999999999994</v>
      </c>
    </row>
    <row r="151" spans="2:4" x14ac:dyDescent="0.2">
      <c r="B151" s="39" t="s">
        <v>10</v>
      </c>
      <c r="C151" s="39">
        <v>1998</v>
      </c>
      <c r="D151" s="39">
        <v>72.7</v>
      </c>
    </row>
    <row r="152" spans="2:4" x14ac:dyDescent="0.2">
      <c r="B152" s="39" t="s">
        <v>10</v>
      </c>
      <c r="C152" s="39">
        <v>1999</v>
      </c>
      <c r="D152" s="39">
        <v>67</v>
      </c>
    </row>
    <row r="153" spans="2:4" x14ac:dyDescent="0.2">
      <c r="B153" s="39" t="s">
        <v>10</v>
      </c>
      <c r="C153" s="39">
        <v>2000</v>
      </c>
      <c r="D153" s="39">
        <v>65.2</v>
      </c>
    </row>
    <row r="154" spans="2:4" x14ac:dyDescent="0.2">
      <c r="B154" s="39" t="s">
        <v>10</v>
      </c>
      <c r="C154" s="39">
        <v>2001</v>
      </c>
      <c r="D154" s="39">
        <v>65.3</v>
      </c>
    </row>
  </sheetData>
  <mergeCells count="10">
    <mergeCell ref="C7:Q7"/>
    <mergeCell ref="C6:Q6"/>
    <mergeCell ref="C5:Q5"/>
    <mergeCell ref="C4:Q4"/>
    <mergeCell ref="B2:Q2"/>
    <mergeCell ref="C3:Q3"/>
    <mergeCell ref="C11:Q11"/>
    <mergeCell ref="C10:Q10"/>
    <mergeCell ref="C9:Q9"/>
    <mergeCell ref="C8:Q8"/>
  </mergeCells>
  <phoneticPr fontId="17" type="noConversion"/>
  <pageMargins left="0.7" right="0.7" top="0.75" bottom="0.75" header="0.3" footer="0.3"/>
  <drawing r:id="rId1"/>
  <tableParts count="2">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Q154"/>
  <sheetViews>
    <sheetView showGridLines="0" workbookViewId="0"/>
  </sheetViews>
  <sheetFormatPr defaultRowHeight="12.75" x14ac:dyDescent="0.2"/>
  <cols>
    <col min="1" max="1" width="3.28515625" customWidth="1"/>
    <col min="2" max="2" width="11.140625" bestFit="1" customWidth="1"/>
    <col min="3" max="3" width="9.7109375" bestFit="1" customWidth="1"/>
    <col min="4" max="4" width="17.28515625" bestFit="1" customWidth="1"/>
    <col min="5" max="5" width="3.28515625" customWidth="1"/>
    <col min="6" max="6" width="11.140625" customWidth="1"/>
    <col min="7" max="7" width="22.7109375" customWidth="1"/>
    <col min="8" max="8" width="3.28515625" customWidth="1"/>
  </cols>
  <sheetData>
    <row r="1" spans="2:17" ht="13.5" thickBot="1" x14ac:dyDescent="0.25"/>
    <row r="2" spans="2:17" ht="21" thickBot="1" x14ac:dyDescent="0.25">
      <c r="B2" s="58" t="s">
        <v>142</v>
      </c>
      <c r="C2" s="59"/>
      <c r="D2" s="59"/>
      <c r="E2" s="59"/>
      <c r="F2" s="59"/>
      <c r="G2" s="59"/>
      <c r="H2" s="59"/>
      <c r="I2" s="59"/>
      <c r="J2" s="59"/>
      <c r="K2" s="59"/>
      <c r="L2" s="59"/>
      <c r="M2" s="59"/>
      <c r="N2" s="59"/>
      <c r="O2" s="59"/>
      <c r="P2" s="59"/>
      <c r="Q2" s="60"/>
    </row>
    <row r="3" spans="2:17" ht="16.5" thickBot="1" x14ac:dyDescent="0.25">
      <c r="B3" s="55" t="b">
        <v>1</v>
      </c>
      <c r="C3" s="52" t="s">
        <v>38</v>
      </c>
      <c r="D3" s="52"/>
      <c r="E3" s="52"/>
      <c r="F3" s="52"/>
      <c r="G3" s="52"/>
      <c r="H3" s="52"/>
      <c r="I3" s="52"/>
      <c r="J3" s="52"/>
      <c r="K3" s="52"/>
      <c r="L3" s="52"/>
      <c r="M3" s="52"/>
      <c r="N3" s="52"/>
      <c r="O3" s="52"/>
      <c r="P3" s="52"/>
      <c r="Q3" s="61"/>
    </row>
    <row r="4" spans="2:17" ht="15" x14ac:dyDescent="0.2">
      <c r="B4" s="56" t="b">
        <v>1</v>
      </c>
      <c r="C4" s="45" t="s">
        <v>149</v>
      </c>
      <c r="D4" s="45"/>
      <c r="E4" s="45"/>
      <c r="F4" s="45"/>
      <c r="G4" s="45"/>
      <c r="H4" s="45"/>
      <c r="I4" s="45"/>
      <c r="J4" s="45"/>
      <c r="K4" s="45"/>
      <c r="L4" s="45"/>
      <c r="M4" s="45"/>
      <c r="N4" s="45"/>
      <c r="O4" s="45"/>
      <c r="P4" s="45"/>
      <c r="Q4" s="49"/>
    </row>
    <row r="5" spans="2:17" ht="15" x14ac:dyDescent="0.2">
      <c r="B5" s="56" t="b">
        <v>1</v>
      </c>
      <c r="C5" s="45" t="s">
        <v>150</v>
      </c>
      <c r="D5" s="45"/>
      <c r="E5" s="45"/>
      <c r="F5" s="45"/>
      <c r="G5" s="45"/>
      <c r="H5" s="45"/>
      <c r="I5" s="45"/>
      <c r="J5" s="45"/>
      <c r="K5" s="45"/>
      <c r="L5" s="45"/>
      <c r="M5" s="45"/>
      <c r="N5" s="45"/>
      <c r="O5" s="45"/>
      <c r="P5" s="45"/>
      <c r="Q5" s="49"/>
    </row>
    <row r="6" spans="2:17" ht="15.75" thickBot="1" x14ac:dyDescent="0.25">
      <c r="B6" s="56" t="b">
        <v>1</v>
      </c>
      <c r="C6" s="45" t="s">
        <v>140</v>
      </c>
      <c r="D6" s="45"/>
      <c r="E6" s="45"/>
      <c r="F6" s="45"/>
      <c r="G6" s="45"/>
      <c r="H6" s="45"/>
      <c r="I6" s="45"/>
      <c r="J6" s="45"/>
      <c r="K6" s="45"/>
      <c r="L6" s="45"/>
      <c r="M6" s="45"/>
      <c r="N6" s="45"/>
      <c r="O6" s="45"/>
      <c r="P6" s="45"/>
      <c r="Q6" s="49"/>
    </row>
    <row r="7" spans="2:17" ht="16.5" thickBot="1" x14ac:dyDescent="0.25">
      <c r="B7" s="55" t="b">
        <v>1</v>
      </c>
      <c r="C7" s="53" t="s">
        <v>25</v>
      </c>
      <c r="D7" s="53"/>
      <c r="E7" s="53"/>
      <c r="F7" s="53"/>
      <c r="G7" s="53"/>
      <c r="H7" s="53"/>
      <c r="I7" s="53"/>
      <c r="J7" s="53"/>
      <c r="K7" s="53"/>
      <c r="L7" s="53"/>
      <c r="M7" s="53"/>
      <c r="N7" s="53"/>
      <c r="O7" s="53"/>
      <c r="P7" s="53"/>
      <c r="Q7" s="54"/>
    </row>
    <row r="8" spans="2:17" ht="15" x14ac:dyDescent="0.2">
      <c r="B8" s="56" t="b">
        <v>1</v>
      </c>
      <c r="C8" s="45" t="s">
        <v>155</v>
      </c>
      <c r="D8" s="45"/>
      <c r="E8" s="45"/>
      <c r="F8" s="45"/>
      <c r="G8" s="45"/>
      <c r="H8" s="45"/>
      <c r="I8" s="45"/>
      <c r="J8" s="45"/>
      <c r="K8" s="45"/>
      <c r="L8" s="45"/>
      <c r="M8" s="45"/>
      <c r="N8" s="45"/>
      <c r="O8" s="45"/>
      <c r="P8" s="45"/>
      <c r="Q8" s="49"/>
    </row>
    <row r="9" spans="2:17" ht="15" x14ac:dyDescent="0.2">
      <c r="B9" s="56" t="b">
        <v>1</v>
      </c>
      <c r="C9" s="45" t="s">
        <v>151</v>
      </c>
      <c r="D9" s="45"/>
      <c r="E9" s="45"/>
      <c r="F9" s="45"/>
      <c r="G9" s="45"/>
      <c r="H9" s="45"/>
      <c r="I9" s="45"/>
      <c r="J9" s="45"/>
      <c r="K9" s="45"/>
      <c r="L9" s="45"/>
      <c r="M9" s="45"/>
      <c r="N9" s="45"/>
      <c r="O9" s="45"/>
      <c r="P9" s="45"/>
      <c r="Q9" s="49"/>
    </row>
    <row r="10" spans="2:17" ht="15" x14ac:dyDescent="0.2">
      <c r="B10" s="56" t="b">
        <v>1</v>
      </c>
      <c r="C10" s="45" t="s">
        <v>152</v>
      </c>
      <c r="D10" s="45"/>
      <c r="E10" s="45"/>
      <c r="F10" s="45"/>
      <c r="G10" s="45"/>
      <c r="H10" s="45"/>
      <c r="I10" s="45"/>
      <c r="J10" s="45"/>
      <c r="K10" s="45"/>
      <c r="L10" s="45"/>
      <c r="M10" s="45"/>
      <c r="N10" s="45"/>
      <c r="O10" s="45"/>
      <c r="P10" s="45"/>
      <c r="Q10" s="49"/>
    </row>
    <row r="11" spans="2:17" ht="15.75" thickBot="1" x14ac:dyDescent="0.25">
      <c r="B11" s="57" t="b">
        <v>1</v>
      </c>
      <c r="C11" s="50" t="s">
        <v>153</v>
      </c>
      <c r="D11" s="50"/>
      <c r="E11" s="50"/>
      <c r="F11" s="50"/>
      <c r="G11" s="50"/>
      <c r="H11" s="50"/>
      <c r="I11" s="50"/>
      <c r="J11" s="50"/>
      <c r="K11" s="50"/>
      <c r="L11" s="50"/>
      <c r="M11" s="50"/>
      <c r="N11" s="50"/>
      <c r="O11" s="50"/>
      <c r="P11" s="50"/>
      <c r="Q11" s="51"/>
    </row>
    <row r="13" spans="2:17" x14ac:dyDescent="0.2">
      <c r="B13" s="39" t="s">
        <v>14</v>
      </c>
      <c r="C13" s="39" t="s">
        <v>0</v>
      </c>
      <c r="D13" s="39" t="s">
        <v>1</v>
      </c>
      <c r="F13" s="42" t="s">
        <v>0</v>
      </c>
      <c r="G13" s="42" t="s">
        <v>154</v>
      </c>
    </row>
    <row r="14" spans="2:17" x14ac:dyDescent="0.2">
      <c r="B14" s="39" t="s">
        <v>5</v>
      </c>
      <c r="C14" s="39">
        <v>1990</v>
      </c>
      <c r="D14" s="39">
        <v>54.3</v>
      </c>
      <c r="F14" s="42">
        <v>1990</v>
      </c>
      <c r="G14" s="43">
        <f>AVERAGEIF(Table14[Year],Table25[[#This Row],[Year]],Table1[Temperature])</f>
        <v>57.033333333333339</v>
      </c>
    </row>
    <row r="15" spans="2:17" x14ac:dyDescent="0.2">
      <c r="B15" s="39" t="s">
        <v>5</v>
      </c>
      <c r="C15" s="39">
        <v>1991</v>
      </c>
      <c r="D15" s="39">
        <v>56</v>
      </c>
      <c r="F15" s="42">
        <v>1991</v>
      </c>
      <c r="G15" s="43">
        <f>AVERAGEIF(Table14[Year],Table25[[#This Row],[Year]],Table1[Temperature])</f>
        <v>56.708333333333343</v>
      </c>
    </row>
    <row r="16" spans="2:17" x14ac:dyDescent="0.2">
      <c r="B16" s="39" t="s">
        <v>5</v>
      </c>
      <c r="C16" s="39">
        <v>1992</v>
      </c>
      <c r="D16" s="39">
        <v>53.1</v>
      </c>
      <c r="F16" s="42">
        <v>1992</v>
      </c>
      <c r="G16" s="43">
        <f>AVERAGEIF(Table14[Year],Table25[[#This Row],[Year]],Table1[Temperature])</f>
        <v>53.608333333333341</v>
      </c>
    </row>
    <row r="17" spans="2:7" x14ac:dyDescent="0.2">
      <c r="B17" s="39" t="s">
        <v>5</v>
      </c>
      <c r="C17" s="39">
        <v>1993</v>
      </c>
      <c r="D17" s="39">
        <v>52.6</v>
      </c>
      <c r="F17" s="42">
        <v>1993</v>
      </c>
      <c r="G17" s="43">
        <f>AVERAGEIF(Table14[Year],Table25[[#This Row],[Year]],Table1[Temperature])</f>
        <v>54.733333333333341</v>
      </c>
    </row>
    <row r="18" spans="2:7" x14ac:dyDescent="0.2">
      <c r="B18" s="39" t="s">
        <v>5</v>
      </c>
      <c r="C18" s="39">
        <v>1994</v>
      </c>
      <c r="D18" s="39">
        <v>60.1</v>
      </c>
      <c r="F18" s="42">
        <v>1994</v>
      </c>
      <c r="G18" s="43">
        <f>AVERAGEIF(Table14[Year],Table25[[#This Row],[Year]],Table1[Temperature])</f>
        <v>55.125</v>
      </c>
    </row>
    <row r="19" spans="2:7" x14ac:dyDescent="0.2">
      <c r="B19" s="39" t="s">
        <v>5</v>
      </c>
      <c r="C19" s="39">
        <v>1995</v>
      </c>
      <c r="D19" s="39">
        <v>52.6</v>
      </c>
      <c r="F19" s="42">
        <v>1995</v>
      </c>
      <c r="G19" s="43">
        <f>AVERAGEIF(Table14[Year],Table25[[#This Row],[Year]],Table1[Temperature])</f>
        <v>54.608333333333327</v>
      </c>
    </row>
    <row r="20" spans="2:7" x14ac:dyDescent="0.2">
      <c r="B20" s="39" t="s">
        <v>5</v>
      </c>
      <c r="C20" s="39">
        <v>1996</v>
      </c>
      <c r="D20" s="39">
        <v>54.6</v>
      </c>
      <c r="F20" s="42">
        <v>1996</v>
      </c>
      <c r="G20" s="43">
        <f>AVERAGEIF(Table14[Year],Table25[[#This Row],[Year]],Table1[Temperature])</f>
        <v>53.125000000000007</v>
      </c>
    </row>
    <row r="21" spans="2:7" x14ac:dyDescent="0.2">
      <c r="B21" s="39" t="s">
        <v>5</v>
      </c>
      <c r="C21" s="39">
        <v>1997</v>
      </c>
      <c r="D21" s="39">
        <v>50.3</v>
      </c>
      <c r="F21" s="42">
        <v>1997</v>
      </c>
      <c r="G21" s="43">
        <f>AVERAGEIF(Table14[Year],Table25[[#This Row],[Year]],Table1[Temperature])</f>
        <v>53.708333333333343</v>
      </c>
    </row>
    <row r="22" spans="2:7" x14ac:dyDescent="0.2">
      <c r="B22" s="39" t="s">
        <v>5</v>
      </c>
      <c r="C22" s="39">
        <v>1998</v>
      </c>
      <c r="D22" s="39">
        <v>54.9</v>
      </c>
      <c r="F22" s="42">
        <v>1998</v>
      </c>
      <c r="G22" s="43">
        <f>AVERAGEIF(Table14[Year],Table25[[#This Row],[Year]],Table1[Temperature])</f>
        <v>57.06666666666667</v>
      </c>
    </row>
    <row r="23" spans="2:7" x14ac:dyDescent="0.2">
      <c r="B23" s="39" t="s">
        <v>5</v>
      </c>
      <c r="C23" s="39">
        <v>1999</v>
      </c>
      <c r="D23" s="39">
        <v>53</v>
      </c>
      <c r="F23" s="42">
        <v>1999</v>
      </c>
      <c r="G23" s="43">
        <f>AVERAGEIF(Table14[Year],Table25[[#This Row],[Year]],Table1[Temperature])</f>
        <v>55.225000000000001</v>
      </c>
    </row>
    <row r="24" spans="2:7" x14ac:dyDescent="0.2">
      <c r="B24" s="39" t="s">
        <v>5</v>
      </c>
      <c r="C24" s="39">
        <v>2000</v>
      </c>
      <c r="D24" s="39">
        <v>53.6</v>
      </c>
      <c r="F24" s="42">
        <v>2000</v>
      </c>
      <c r="G24" s="43">
        <f>AVERAGEIF(Table14[Year],Table25[[#This Row],[Year]],Table1[Temperature])</f>
        <v>53.908333333333339</v>
      </c>
    </row>
    <row r="25" spans="2:7" x14ac:dyDescent="0.2">
      <c r="B25" s="39" t="s">
        <v>5</v>
      </c>
      <c r="C25" s="39">
        <v>2001</v>
      </c>
      <c r="D25" s="39">
        <v>55.5</v>
      </c>
      <c r="F25" s="42">
        <v>2001</v>
      </c>
      <c r="G25" s="43">
        <f>AVERAGEIF(Table14[Year],Table25[[#This Row],[Year]],Table1[Temperature])</f>
        <v>54.877777777777773</v>
      </c>
    </row>
    <row r="26" spans="2:7" x14ac:dyDescent="0.2">
      <c r="B26" s="39" t="s">
        <v>9</v>
      </c>
      <c r="C26" s="39">
        <v>1990</v>
      </c>
      <c r="D26" s="39">
        <v>73.8</v>
      </c>
    </row>
    <row r="27" spans="2:7" x14ac:dyDescent="0.2">
      <c r="B27" s="39" t="s">
        <v>9</v>
      </c>
      <c r="C27" s="39">
        <v>1991</v>
      </c>
      <c r="D27" s="39">
        <v>77</v>
      </c>
    </row>
    <row r="28" spans="2:7" x14ac:dyDescent="0.2">
      <c r="B28" s="39" t="s">
        <v>9</v>
      </c>
      <c r="C28" s="39">
        <v>1992</v>
      </c>
      <c r="D28" s="39">
        <v>70.400000000000006</v>
      </c>
    </row>
    <row r="29" spans="2:7" x14ac:dyDescent="0.2">
      <c r="B29" s="39" t="s">
        <v>9</v>
      </c>
      <c r="C29" s="39">
        <v>1993</v>
      </c>
      <c r="D29" s="39">
        <v>78</v>
      </c>
    </row>
    <row r="30" spans="2:7" x14ac:dyDescent="0.2">
      <c r="B30" s="39" t="s">
        <v>9</v>
      </c>
      <c r="C30" s="39">
        <v>1994</v>
      </c>
      <c r="D30" s="39">
        <v>73.8</v>
      </c>
    </row>
    <row r="31" spans="2:7" x14ac:dyDescent="0.2">
      <c r="B31" s="39" t="s">
        <v>9</v>
      </c>
      <c r="C31" s="39">
        <v>1995</v>
      </c>
      <c r="D31" s="39">
        <v>77.599999999999994</v>
      </c>
    </row>
    <row r="32" spans="2:7" x14ac:dyDescent="0.2">
      <c r="B32" s="39" t="s">
        <v>9</v>
      </c>
      <c r="C32" s="39">
        <v>1996</v>
      </c>
      <c r="D32" s="39">
        <v>72.7</v>
      </c>
    </row>
    <row r="33" spans="2:4" x14ac:dyDescent="0.2">
      <c r="B33" s="39" t="s">
        <v>9</v>
      </c>
      <c r="C33" s="39">
        <v>1997</v>
      </c>
      <c r="D33" s="39">
        <v>73.3</v>
      </c>
    </row>
    <row r="34" spans="2:4" x14ac:dyDescent="0.2">
      <c r="B34" s="39" t="s">
        <v>9</v>
      </c>
      <c r="C34" s="39">
        <v>1998</v>
      </c>
      <c r="D34" s="39">
        <v>76.2</v>
      </c>
    </row>
    <row r="35" spans="2:4" x14ac:dyDescent="0.2">
      <c r="B35" s="39" t="s">
        <v>9</v>
      </c>
      <c r="C35" s="39">
        <v>1999</v>
      </c>
      <c r="D35" s="39">
        <v>75.400000000000006</v>
      </c>
    </row>
    <row r="36" spans="2:4" x14ac:dyDescent="0.2">
      <c r="B36" s="39" t="s">
        <v>9</v>
      </c>
      <c r="C36" s="39">
        <v>2000</v>
      </c>
      <c r="D36" s="39">
        <v>73</v>
      </c>
    </row>
    <row r="37" spans="2:4" x14ac:dyDescent="0.2">
      <c r="B37" s="39" t="s">
        <v>9</v>
      </c>
      <c r="C37" s="39">
        <v>2001</v>
      </c>
      <c r="D37" s="39">
        <v>64.099999999999994</v>
      </c>
    </row>
    <row r="38" spans="2:4" x14ac:dyDescent="0.2">
      <c r="B38" s="39" t="s">
        <v>13</v>
      </c>
      <c r="C38" s="39">
        <v>1990</v>
      </c>
      <c r="D38" s="39">
        <v>41.3</v>
      </c>
    </row>
    <row r="39" spans="2:4" x14ac:dyDescent="0.2">
      <c r="B39" s="39" t="s">
        <v>13</v>
      </c>
      <c r="C39" s="39">
        <v>1991</v>
      </c>
      <c r="D39" s="39">
        <v>38.5</v>
      </c>
    </row>
    <row r="40" spans="2:4" x14ac:dyDescent="0.2">
      <c r="B40" s="39" t="s">
        <v>13</v>
      </c>
      <c r="C40" s="39">
        <v>1992</v>
      </c>
      <c r="D40" s="39">
        <v>36.799999999999997</v>
      </c>
    </row>
    <row r="41" spans="2:4" x14ac:dyDescent="0.2">
      <c r="B41" s="39" t="s">
        <v>13</v>
      </c>
      <c r="C41" s="39">
        <v>1993</v>
      </c>
      <c r="D41" s="39">
        <v>34</v>
      </c>
    </row>
    <row r="42" spans="2:4" x14ac:dyDescent="0.2">
      <c r="B42" s="39" t="s">
        <v>13</v>
      </c>
      <c r="C42" s="39">
        <v>1994</v>
      </c>
      <c r="D42" s="39">
        <v>40.299999999999997</v>
      </c>
    </row>
    <row r="43" spans="2:4" x14ac:dyDescent="0.2">
      <c r="B43" s="39" t="s">
        <v>13</v>
      </c>
      <c r="C43" s="39">
        <v>1995</v>
      </c>
      <c r="D43" s="39">
        <v>33</v>
      </c>
    </row>
    <row r="44" spans="2:4" x14ac:dyDescent="0.2">
      <c r="B44" s="39" t="s">
        <v>13</v>
      </c>
      <c r="C44" s="39">
        <v>1996</v>
      </c>
      <c r="D44" s="39">
        <v>38.299999999999997</v>
      </c>
    </row>
    <row r="45" spans="2:4" x14ac:dyDescent="0.2">
      <c r="B45" s="39" t="s">
        <v>13</v>
      </c>
      <c r="C45" s="39">
        <v>1997</v>
      </c>
      <c r="D45" s="39">
        <v>37.200000000000003</v>
      </c>
    </row>
    <row r="46" spans="2:4" x14ac:dyDescent="0.2">
      <c r="B46" s="39" t="s">
        <v>13</v>
      </c>
      <c r="C46" s="39">
        <v>1998</v>
      </c>
      <c r="D46" s="39">
        <v>40.9</v>
      </c>
    </row>
    <row r="47" spans="2:4" x14ac:dyDescent="0.2">
      <c r="B47" s="39" t="s">
        <v>13</v>
      </c>
      <c r="C47" s="39">
        <v>1999</v>
      </c>
      <c r="D47" s="39">
        <v>38.200000000000003</v>
      </c>
    </row>
    <row r="48" spans="2:4" x14ac:dyDescent="0.2">
      <c r="B48" s="39" t="s">
        <v>13</v>
      </c>
      <c r="C48" s="39">
        <v>2000</v>
      </c>
      <c r="D48" s="39">
        <v>28.1</v>
      </c>
    </row>
    <row r="49" spans="2:4" x14ac:dyDescent="0.2">
      <c r="B49" s="39" t="s">
        <v>3</v>
      </c>
      <c r="C49" s="39">
        <v>1990</v>
      </c>
      <c r="D49" s="39">
        <v>42.2</v>
      </c>
    </row>
    <row r="50" spans="2:4" x14ac:dyDescent="0.2">
      <c r="B50" s="39" t="s">
        <v>3</v>
      </c>
      <c r="C50" s="39">
        <v>1991</v>
      </c>
      <c r="D50" s="39">
        <v>39.5</v>
      </c>
    </row>
    <row r="51" spans="2:4" x14ac:dyDescent="0.2">
      <c r="B51" s="39" t="s">
        <v>3</v>
      </c>
      <c r="C51" s="39">
        <v>1992</v>
      </c>
      <c r="D51" s="39">
        <v>38</v>
      </c>
    </row>
    <row r="52" spans="2:4" x14ac:dyDescent="0.2">
      <c r="B52" s="39" t="s">
        <v>3</v>
      </c>
      <c r="C52" s="39">
        <v>1993</v>
      </c>
      <c r="D52" s="39">
        <v>31.7</v>
      </c>
    </row>
    <row r="53" spans="2:4" x14ac:dyDescent="0.2">
      <c r="B53" s="39" t="s">
        <v>3</v>
      </c>
      <c r="C53" s="39">
        <v>1994</v>
      </c>
      <c r="D53" s="39">
        <v>33.299999999999997</v>
      </c>
    </row>
    <row r="54" spans="2:4" x14ac:dyDescent="0.2">
      <c r="B54" s="39" t="s">
        <v>3</v>
      </c>
      <c r="C54" s="39">
        <v>1995</v>
      </c>
      <c r="D54" s="39">
        <v>31.3</v>
      </c>
    </row>
    <row r="55" spans="2:4" x14ac:dyDescent="0.2">
      <c r="B55" s="39" t="s">
        <v>3</v>
      </c>
      <c r="C55" s="39">
        <v>1996</v>
      </c>
      <c r="D55" s="39">
        <v>34.700000000000003</v>
      </c>
    </row>
    <row r="56" spans="2:4" x14ac:dyDescent="0.2">
      <c r="B56" s="39" t="s">
        <v>3</v>
      </c>
      <c r="C56" s="39">
        <v>1997</v>
      </c>
      <c r="D56" s="39">
        <v>40.5</v>
      </c>
    </row>
    <row r="57" spans="2:4" x14ac:dyDescent="0.2">
      <c r="B57" s="39" t="s">
        <v>3</v>
      </c>
      <c r="C57" s="39">
        <v>1998</v>
      </c>
      <c r="D57" s="39">
        <v>41</v>
      </c>
    </row>
    <row r="58" spans="2:4" x14ac:dyDescent="0.2">
      <c r="B58" s="39" t="s">
        <v>3</v>
      </c>
      <c r="C58" s="39">
        <v>1999</v>
      </c>
      <c r="D58" s="39">
        <v>37.5</v>
      </c>
    </row>
    <row r="59" spans="2:4" x14ac:dyDescent="0.2">
      <c r="B59" s="39" t="s">
        <v>3</v>
      </c>
      <c r="C59" s="39">
        <v>2000</v>
      </c>
      <c r="D59" s="39">
        <v>36.799999999999997</v>
      </c>
    </row>
    <row r="60" spans="2:4" x14ac:dyDescent="0.2">
      <c r="B60" s="39" t="s">
        <v>3</v>
      </c>
      <c r="C60" s="39">
        <v>2001</v>
      </c>
      <c r="D60" s="39">
        <v>38.5</v>
      </c>
    </row>
    <row r="61" spans="2:4" x14ac:dyDescent="0.2">
      <c r="B61" s="39" t="s">
        <v>2</v>
      </c>
      <c r="C61" s="39">
        <v>1990</v>
      </c>
      <c r="D61" s="39">
        <v>40.799999999999997</v>
      </c>
    </row>
    <row r="62" spans="2:4" x14ac:dyDescent="0.2">
      <c r="B62" s="39" t="s">
        <v>2</v>
      </c>
      <c r="C62" s="39">
        <v>1991</v>
      </c>
      <c r="D62" s="39">
        <v>34</v>
      </c>
    </row>
    <row r="63" spans="2:4" x14ac:dyDescent="0.2">
      <c r="B63" s="39" t="s">
        <v>2</v>
      </c>
      <c r="C63" s="39">
        <v>1992</v>
      </c>
      <c r="D63" s="39">
        <v>35</v>
      </c>
    </row>
    <row r="64" spans="2:4" x14ac:dyDescent="0.2">
      <c r="B64" s="39" t="s">
        <v>2</v>
      </c>
      <c r="C64" s="39">
        <v>1993</v>
      </c>
      <c r="D64" s="39">
        <v>36.799999999999997</v>
      </c>
    </row>
    <row r="65" spans="2:4" x14ac:dyDescent="0.2">
      <c r="B65" s="39" t="s">
        <v>2</v>
      </c>
      <c r="C65" s="39">
        <v>1994</v>
      </c>
      <c r="D65" s="39">
        <v>26.1</v>
      </c>
    </row>
    <row r="66" spans="2:4" x14ac:dyDescent="0.2">
      <c r="B66" s="39" t="s">
        <v>2</v>
      </c>
      <c r="C66" s="39">
        <v>1995</v>
      </c>
      <c r="D66" s="39">
        <v>37.200000000000003</v>
      </c>
    </row>
    <row r="67" spans="2:4" x14ac:dyDescent="0.2">
      <c r="B67" s="39" t="s">
        <v>2</v>
      </c>
      <c r="C67" s="39">
        <v>1996</v>
      </c>
      <c r="D67" s="39">
        <v>30</v>
      </c>
    </row>
    <row r="68" spans="2:4" x14ac:dyDescent="0.2">
      <c r="B68" s="39" t="s">
        <v>2</v>
      </c>
      <c r="C68" s="39">
        <v>1997</v>
      </c>
      <c r="D68" s="39">
        <v>32.5</v>
      </c>
    </row>
    <row r="69" spans="2:4" x14ac:dyDescent="0.2">
      <c r="B69" s="39" t="s">
        <v>2</v>
      </c>
      <c r="C69" s="39">
        <v>1998</v>
      </c>
      <c r="D69" s="39">
        <v>40.1</v>
      </c>
    </row>
    <row r="70" spans="2:4" x14ac:dyDescent="0.2">
      <c r="B70" s="39" t="s">
        <v>2</v>
      </c>
      <c r="C70" s="39">
        <v>1999</v>
      </c>
      <c r="D70" s="39">
        <v>34.9</v>
      </c>
    </row>
    <row r="71" spans="2:4" x14ac:dyDescent="0.2">
      <c r="B71" s="39" t="s">
        <v>2</v>
      </c>
      <c r="C71" s="39">
        <v>2000</v>
      </c>
      <c r="D71" s="39">
        <v>32.700000000000003</v>
      </c>
    </row>
    <row r="72" spans="2:4" x14ac:dyDescent="0.2">
      <c r="B72" s="39" t="s">
        <v>2</v>
      </c>
      <c r="C72" s="39">
        <v>2001</v>
      </c>
      <c r="D72" s="39">
        <v>32.299999999999997</v>
      </c>
    </row>
    <row r="73" spans="2:4" x14ac:dyDescent="0.2">
      <c r="B73" s="39" t="s">
        <v>8</v>
      </c>
      <c r="C73" s="39">
        <v>1990</v>
      </c>
      <c r="D73" s="39">
        <v>76.900000000000006</v>
      </c>
    </row>
    <row r="74" spans="2:4" x14ac:dyDescent="0.2">
      <c r="B74" s="39" t="s">
        <v>8</v>
      </c>
      <c r="C74" s="39">
        <v>1991</v>
      </c>
      <c r="D74" s="39">
        <v>77.900000000000006</v>
      </c>
    </row>
    <row r="75" spans="2:4" x14ac:dyDescent="0.2">
      <c r="B75" s="39" t="s">
        <v>8</v>
      </c>
      <c r="C75" s="39">
        <v>1992</v>
      </c>
      <c r="D75" s="39">
        <v>75.900000000000006</v>
      </c>
    </row>
    <row r="76" spans="2:4" x14ac:dyDescent="0.2">
      <c r="B76" s="39" t="s">
        <v>8</v>
      </c>
      <c r="C76" s="39">
        <v>1993</v>
      </c>
      <c r="D76" s="39">
        <v>79.7</v>
      </c>
    </row>
    <row r="77" spans="2:4" x14ac:dyDescent="0.2">
      <c r="B77" s="39" t="s">
        <v>8</v>
      </c>
      <c r="C77" s="39">
        <v>1994</v>
      </c>
      <c r="D77" s="39">
        <v>79.5</v>
      </c>
    </row>
    <row r="78" spans="2:4" x14ac:dyDescent="0.2">
      <c r="B78" s="39" t="s">
        <v>8</v>
      </c>
      <c r="C78" s="39">
        <v>1995</v>
      </c>
      <c r="D78" s="39">
        <v>78.2</v>
      </c>
    </row>
    <row r="79" spans="2:4" x14ac:dyDescent="0.2">
      <c r="B79" s="39" t="s">
        <v>8</v>
      </c>
      <c r="C79" s="39">
        <v>1996</v>
      </c>
      <c r="D79" s="39">
        <v>72.900000000000006</v>
      </c>
    </row>
    <row r="80" spans="2:4" x14ac:dyDescent="0.2">
      <c r="B80" s="39" t="s">
        <v>8</v>
      </c>
      <c r="C80" s="39">
        <v>1997</v>
      </c>
      <c r="D80" s="39">
        <v>75.8</v>
      </c>
    </row>
    <row r="81" spans="2:4" x14ac:dyDescent="0.2">
      <c r="B81" s="39" t="s">
        <v>8</v>
      </c>
      <c r="C81" s="39">
        <v>1998</v>
      </c>
      <c r="D81" s="39">
        <v>75.3</v>
      </c>
    </row>
    <row r="82" spans="2:4" x14ac:dyDescent="0.2">
      <c r="B82" s="39" t="s">
        <v>8</v>
      </c>
      <c r="C82" s="39">
        <v>1999</v>
      </c>
      <c r="D82" s="39">
        <v>78.5</v>
      </c>
    </row>
    <row r="83" spans="2:4" x14ac:dyDescent="0.2">
      <c r="B83" s="39" t="s">
        <v>8</v>
      </c>
      <c r="C83" s="39">
        <v>2000</v>
      </c>
      <c r="D83" s="39">
        <v>72.099999999999994</v>
      </c>
    </row>
    <row r="84" spans="2:4" x14ac:dyDescent="0.2">
      <c r="B84" s="39" t="s">
        <v>8</v>
      </c>
      <c r="C84" s="39">
        <v>2001</v>
      </c>
      <c r="D84" s="39">
        <v>72.2</v>
      </c>
    </row>
    <row r="85" spans="2:4" x14ac:dyDescent="0.2">
      <c r="B85" s="39" t="s">
        <v>7</v>
      </c>
      <c r="C85" s="39">
        <v>1990</v>
      </c>
      <c r="D85" s="39">
        <v>72</v>
      </c>
    </row>
    <row r="86" spans="2:4" x14ac:dyDescent="0.2">
      <c r="B86" s="39" t="s">
        <v>7</v>
      </c>
      <c r="C86" s="39">
        <v>1991</v>
      </c>
      <c r="D86" s="39">
        <v>72.3</v>
      </c>
    </row>
    <row r="87" spans="2:4" x14ac:dyDescent="0.2">
      <c r="B87" s="39" t="s">
        <v>7</v>
      </c>
      <c r="C87" s="39">
        <v>1992</v>
      </c>
      <c r="D87" s="39">
        <v>68.599999999999994</v>
      </c>
    </row>
    <row r="88" spans="2:4" x14ac:dyDescent="0.2">
      <c r="B88" s="39" t="s">
        <v>7</v>
      </c>
      <c r="C88" s="39">
        <v>1993</v>
      </c>
      <c r="D88" s="39">
        <v>72</v>
      </c>
    </row>
    <row r="89" spans="2:4" x14ac:dyDescent="0.2">
      <c r="B89" s="39" t="s">
        <v>7</v>
      </c>
      <c r="C89" s="39">
        <v>1994</v>
      </c>
      <c r="D89" s="39">
        <v>76.099999999999994</v>
      </c>
    </row>
    <row r="90" spans="2:4" x14ac:dyDescent="0.2">
      <c r="B90" s="39" t="s">
        <v>7</v>
      </c>
      <c r="C90" s="39">
        <v>1995</v>
      </c>
      <c r="D90" s="39">
        <v>71.5</v>
      </c>
    </row>
    <row r="91" spans="2:4" x14ac:dyDescent="0.2">
      <c r="B91" s="39" t="s">
        <v>7</v>
      </c>
      <c r="C91" s="39">
        <v>1996</v>
      </c>
      <c r="D91" s="39">
        <v>72.8</v>
      </c>
    </row>
    <row r="92" spans="2:4" x14ac:dyDescent="0.2">
      <c r="B92" s="39" t="s">
        <v>7</v>
      </c>
      <c r="C92" s="39">
        <v>1997</v>
      </c>
      <c r="D92" s="39">
        <v>69.099999999999994</v>
      </c>
    </row>
    <row r="93" spans="2:4" x14ac:dyDescent="0.2">
      <c r="B93" s="39" t="s">
        <v>7</v>
      </c>
      <c r="C93" s="39">
        <v>1998</v>
      </c>
      <c r="D93" s="39">
        <v>70.400000000000006</v>
      </c>
    </row>
    <row r="94" spans="2:4" x14ac:dyDescent="0.2">
      <c r="B94" s="39" t="s">
        <v>7</v>
      </c>
      <c r="C94" s="39">
        <v>1999</v>
      </c>
      <c r="D94" s="39">
        <v>70.8</v>
      </c>
    </row>
    <row r="95" spans="2:4" x14ac:dyDescent="0.2">
      <c r="B95" s="39" t="s">
        <v>7</v>
      </c>
      <c r="C95" s="39">
        <v>2000</v>
      </c>
      <c r="D95" s="39">
        <v>72.3</v>
      </c>
    </row>
    <row r="96" spans="2:4" x14ac:dyDescent="0.2">
      <c r="B96" s="39" t="s">
        <v>7</v>
      </c>
      <c r="C96" s="39">
        <v>2001</v>
      </c>
      <c r="D96" s="39">
        <v>69</v>
      </c>
    </row>
    <row r="97" spans="2:4" x14ac:dyDescent="0.2">
      <c r="B97" s="39" t="s">
        <v>4</v>
      </c>
      <c r="C97" s="39">
        <v>1990</v>
      </c>
      <c r="D97" s="39">
        <v>48.1</v>
      </c>
    </row>
    <row r="98" spans="2:4" x14ac:dyDescent="0.2">
      <c r="B98" s="39" t="s">
        <v>4</v>
      </c>
      <c r="C98" s="39">
        <v>1991</v>
      </c>
      <c r="D98" s="39">
        <v>46.1</v>
      </c>
    </row>
    <row r="99" spans="2:4" x14ac:dyDescent="0.2">
      <c r="B99" s="39" t="s">
        <v>4</v>
      </c>
      <c r="C99" s="39">
        <v>1992</v>
      </c>
      <c r="D99" s="39">
        <v>41.9</v>
      </c>
    </row>
    <row r="100" spans="2:4" x14ac:dyDescent="0.2">
      <c r="B100" s="39" t="s">
        <v>4</v>
      </c>
      <c r="C100" s="39">
        <v>1993</v>
      </c>
      <c r="D100" s="39">
        <v>39.299999999999997</v>
      </c>
    </row>
    <row r="101" spans="2:4" x14ac:dyDescent="0.2">
      <c r="B101" s="39" t="s">
        <v>4</v>
      </c>
      <c r="C101" s="39">
        <v>1994</v>
      </c>
      <c r="D101" s="39">
        <v>42.7</v>
      </c>
    </row>
    <row r="102" spans="2:4" x14ac:dyDescent="0.2">
      <c r="B102" s="39" t="s">
        <v>4</v>
      </c>
      <c r="C102" s="39">
        <v>1995</v>
      </c>
      <c r="D102" s="39">
        <v>46.1</v>
      </c>
    </row>
    <row r="103" spans="2:4" x14ac:dyDescent="0.2">
      <c r="B103" s="39" t="s">
        <v>4</v>
      </c>
      <c r="C103" s="39">
        <v>1996</v>
      </c>
      <c r="D103" s="39">
        <v>39.700000000000003</v>
      </c>
    </row>
    <row r="104" spans="2:4" x14ac:dyDescent="0.2">
      <c r="B104" s="39" t="s">
        <v>4</v>
      </c>
      <c r="C104" s="39">
        <v>1997</v>
      </c>
      <c r="D104" s="39">
        <v>44.6</v>
      </c>
    </row>
    <row r="105" spans="2:4" x14ac:dyDescent="0.2">
      <c r="B105" s="39" t="s">
        <v>4</v>
      </c>
      <c r="C105" s="39">
        <v>1998</v>
      </c>
      <c r="D105" s="39">
        <v>45.5</v>
      </c>
    </row>
    <row r="106" spans="2:4" x14ac:dyDescent="0.2">
      <c r="B106" s="39" t="s">
        <v>4</v>
      </c>
      <c r="C106" s="39">
        <v>1999</v>
      </c>
      <c r="D106" s="39">
        <v>41.4</v>
      </c>
    </row>
    <row r="107" spans="2:4" x14ac:dyDescent="0.2">
      <c r="B107" s="39" t="s">
        <v>4</v>
      </c>
      <c r="C107" s="39">
        <v>2000</v>
      </c>
      <c r="D107" s="39">
        <v>48.2</v>
      </c>
    </row>
    <row r="108" spans="2:4" x14ac:dyDescent="0.2">
      <c r="B108" s="39" t="s">
        <v>4</v>
      </c>
      <c r="C108" s="39">
        <v>2001</v>
      </c>
      <c r="D108" s="39">
        <v>36.200000000000003</v>
      </c>
    </row>
    <row r="109" spans="2:4" x14ac:dyDescent="0.2">
      <c r="B109" s="39" t="s">
        <v>6</v>
      </c>
      <c r="C109" s="39">
        <v>1990</v>
      </c>
      <c r="D109" s="39">
        <v>61.6</v>
      </c>
    </row>
    <row r="110" spans="2:4" x14ac:dyDescent="0.2">
      <c r="B110" s="39" t="s">
        <v>6</v>
      </c>
      <c r="C110" s="39">
        <v>1991</v>
      </c>
      <c r="D110" s="39">
        <v>69.3</v>
      </c>
    </row>
    <row r="111" spans="2:4" x14ac:dyDescent="0.2">
      <c r="B111" s="39" t="s">
        <v>6</v>
      </c>
      <c r="C111" s="39">
        <v>1992</v>
      </c>
      <c r="D111" s="39">
        <v>59.7</v>
      </c>
    </row>
    <row r="112" spans="2:4" x14ac:dyDescent="0.2">
      <c r="B112" s="39" t="s">
        <v>6</v>
      </c>
      <c r="C112" s="39">
        <v>1993</v>
      </c>
      <c r="D112" s="39">
        <v>64.5</v>
      </c>
    </row>
    <row r="113" spans="2:4" x14ac:dyDescent="0.2">
      <c r="B113" s="39" t="s">
        <v>6</v>
      </c>
      <c r="C113" s="39">
        <v>1994</v>
      </c>
      <c r="D113" s="39">
        <v>59.9</v>
      </c>
    </row>
    <row r="114" spans="2:4" x14ac:dyDescent="0.2">
      <c r="B114" s="39" t="s">
        <v>6</v>
      </c>
      <c r="C114" s="39">
        <v>1995</v>
      </c>
      <c r="D114" s="39">
        <v>62.7</v>
      </c>
    </row>
    <row r="115" spans="2:4" x14ac:dyDescent="0.2">
      <c r="B115" s="39" t="s">
        <v>6</v>
      </c>
      <c r="C115" s="39">
        <v>1996</v>
      </c>
      <c r="D115" s="39">
        <v>59.7</v>
      </c>
    </row>
    <row r="116" spans="2:4" x14ac:dyDescent="0.2">
      <c r="B116" s="39" t="s">
        <v>6</v>
      </c>
      <c r="C116" s="39">
        <v>1997</v>
      </c>
      <c r="D116" s="39">
        <v>58.8</v>
      </c>
    </row>
    <row r="117" spans="2:4" x14ac:dyDescent="0.2">
      <c r="B117" s="39" t="s">
        <v>6</v>
      </c>
      <c r="C117" s="39">
        <v>1998</v>
      </c>
      <c r="D117" s="39">
        <v>66</v>
      </c>
    </row>
    <row r="118" spans="2:4" x14ac:dyDescent="0.2">
      <c r="B118" s="39" t="s">
        <v>6</v>
      </c>
      <c r="C118" s="39">
        <v>1999</v>
      </c>
      <c r="D118" s="39">
        <v>62.8</v>
      </c>
    </row>
    <row r="119" spans="2:4" x14ac:dyDescent="0.2">
      <c r="B119" s="39" t="s">
        <v>6</v>
      </c>
      <c r="C119" s="39">
        <v>2000</v>
      </c>
      <c r="D119" s="39">
        <v>64.8</v>
      </c>
    </row>
    <row r="120" spans="2:4" x14ac:dyDescent="0.2">
      <c r="B120" s="39" t="s">
        <v>6</v>
      </c>
      <c r="C120" s="39">
        <v>2001</v>
      </c>
      <c r="D120" s="39">
        <v>60.8</v>
      </c>
    </row>
    <row r="121" spans="2:4" x14ac:dyDescent="0.2">
      <c r="B121" s="39" t="s">
        <v>12</v>
      </c>
      <c r="C121" s="39">
        <v>1990</v>
      </c>
      <c r="D121" s="39">
        <v>48.6</v>
      </c>
    </row>
    <row r="122" spans="2:4" x14ac:dyDescent="0.2">
      <c r="B122" s="39" t="s">
        <v>12</v>
      </c>
      <c r="C122" s="39">
        <v>1991</v>
      </c>
      <c r="D122" s="39">
        <v>45.7</v>
      </c>
    </row>
    <row r="123" spans="2:4" x14ac:dyDescent="0.2">
      <c r="B123" s="39" t="s">
        <v>12</v>
      </c>
      <c r="C123" s="39">
        <v>1992</v>
      </c>
      <c r="D123" s="39">
        <v>45.7</v>
      </c>
    </row>
    <row r="124" spans="2:4" x14ac:dyDescent="0.2">
      <c r="B124" s="39" t="s">
        <v>12</v>
      </c>
      <c r="C124" s="39">
        <v>1993</v>
      </c>
      <c r="D124" s="39">
        <v>45.3</v>
      </c>
    </row>
    <row r="125" spans="2:4" x14ac:dyDescent="0.2">
      <c r="B125" s="39" t="s">
        <v>12</v>
      </c>
      <c r="C125" s="39">
        <v>1994</v>
      </c>
      <c r="D125" s="39">
        <v>49.1</v>
      </c>
    </row>
    <row r="126" spans="2:4" x14ac:dyDescent="0.2">
      <c r="B126" s="39" t="s">
        <v>12</v>
      </c>
      <c r="C126" s="39">
        <v>1995</v>
      </c>
      <c r="D126" s="39">
        <v>39.700000000000003</v>
      </c>
    </row>
    <row r="127" spans="2:4" x14ac:dyDescent="0.2">
      <c r="B127" s="39" t="s">
        <v>12</v>
      </c>
      <c r="C127" s="39">
        <v>1996</v>
      </c>
      <c r="D127" s="39">
        <v>39.299999999999997</v>
      </c>
    </row>
    <row r="128" spans="2:4" x14ac:dyDescent="0.2">
      <c r="B128" s="39" t="s">
        <v>12</v>
      </c>
      <c r="C128" s="39">
        <v>1997</v>
      </c>
      <c r="D128" s="39">
        <v>43.6</v>
      </c>
    </row>
    <row r="129" spans="2:4" x14ac:dyDescent="0.2">
      <c r="B129" s="39" t="s">
        <v>12</v>
      </c>
      <c r="C129" s="39">
        <v>1998</v>
      </c>
      <c r="D129" s="39">
        <v>45.6</v>
      </c>
    </row>
    <row r="130" spans="2:4" x14ac:dyDescent="0.2">
      <c r="B130" s="39" t="s">
        <v>12</v>
      </c>
      <c r="C130" s="39">
        <v>1999</v>
      </c>
      <c r="D130" s="39">
        <v>50.1</v>
      </c>
    </row>
    <row r="131" spans="2:4" x14ac:dyDescent="0.2">
      <c r="B131" s="39" t="s">
        <v>12</v>
      </c>
      <c r="C131" s="39">
        <v>2000</v>
      </c>
      <c r="D131" s="39">
        <v>42.9</v>
      </c>
    </row>
    <row r="132" spans="2:4" x14ac:dyDescent="0.2">
      <c r="B132" s="39" t="s">
        <v>11</v>
      </c>
      <c r="C132" s="39">
        <v>1990</v>
      </c>
      <c r="D132" s="39">
        <v>58.7</v>
      </c>
    </row>
    <row r="133" spans="2:4" x14ac:dyDescent="0.2">
      <c r="B133" s="39" t="s">
        <v>11</v>
      </c>
      <c r="C133" s="39">
        <v>1991</v>
      </c>
      <c r="D133" s="39">
        <v>56.6</v>
      </c>
    </row>
    <row r="134" spans="2:4" x14ac:dyDescent="0.2">
      <c r="B134" s="39" t="s">
        <v>11</v>
      </c>
      <c r="C134" s="39">
        <v>1992</v>
      </c>
      <c r="D134" s="39">
        <v>52.2</v>
      </c>
    </row>
    <row r="135" spans="2:4" x14ac:dyDescent="0.2">
      <c r="B135" s="39" t="s">
        <v>11</v>
      </c>
      <c r="C135" s="39">
        <v>1993</v>
      </c>
      <c r="D135" s="39">
        <v>54.2</v>
      </c>
    </row>
    <row r="136" spans="2:4" x14ac:dyDescent="0.2">
      <c r="B136" s="39" t="s">
        <v>11</v>
      </c>
      <c r="C136" s="39">
        <v>1994</v>
      </c>
      <c r="D136" s="39">
        <v>53.9</v>
      </c>
    </row>
    <row r="137" spans="2:4" x14ac:dyDescent="0.2">
      <c r="B137" s="39" t="s">
        <v>11</v>
      </c>
      <c r="C137" s="39">
        <v>1995</v>
      </c>
      <c r="D137" s="39">
        <v>58.3</v>
      </c>
    </row>
    <row r="138" spans="2:4" x14ac:dyDescent="0.2">
      <c r="B138" s="39" t="s">
        <v>11</v>
      </c>
      <c r="C138" s="39">
        <v>1996</v>
      </c>
      <c r="D138" s="39">
        <v>55.7</v>
      </c>
    </row>
    <row r="139" spans="2:4" x14ac:dyDescent="0.2">
      <c r="B139" s="39" t="s">
        <v>11</v>
      </c>
      <c r="C139" s="39">
        <v>1997</v>
      </c>
      <c r="D139" s="39">
        <v>53.7</v>
      </c>
    </row>
    <row r="140" spans="2:4" x14ac:dyDescent="0.2">
      <c r="B140" s="39" t="s">
        <v>11</v>
      </c>
      <c r="C140" s="39">
        <v>1998</v>
      </c>
      <c r="D140" s="39">
        <v>56.2</v>
      </c>
    </row>
    <row r="141" spans="2:4" x14ac:dyDescent="0.2">
      <c r="B141" s="39" t="s">
        <v>11</v>
      </c>
      <c r="C141" s="39">
        <v>1999</v>
      </c>
      <c r="D141" s="39">
        <v>53.1</v>
      </c>
    </row>
    <row r="142" spans="2:4" x14ac:dyDescent="0.2">
      <c r="B142" s="39" t="s">
        <v>11</v>
      </c>
      <c r="C142" s="39">
        <v>2000</v>
      </c>
      <c r="D142" s="39">
        <v>57.2</v>
      </c>
    </row>
    <row r="143" spans="2:4" x14ac:dyDescent="0.2">
      <c r="B143" s="39" t="s">
        <v>10</v>
      </c>
      <c r="C143" s="39">
        <v>1990</v>
      </c>
      <c r="D143" s="39">
        <v>66.099999999999994</v>
      </c>
    </row>
    <row r="144" spans="2:4" x14ac:dyDescent="0.2">
      <c r="B144" s="39" t="s">
        <v>10</v>
      </c>
      <c r="C144" s="39">
        <v>1991</v>
      </c>
      <c r="D144" s="39">
        <v>67.599999999999994</v>
      </c>
    </row>
    <row r="145" spans="2:4" x14ac:dyDescent="0.2">
      <c r="B145" s="39" t="s">
        <v>10</v>
      </c>
      <c r="C145" s="39">
        <v>1992</v>
      </c>
      <c r="D145" s="39">
        <v>66</v>
      </c>
    </row>
    <row r="146" spans="2:4" x14ac:dyDescent="0.2">
      <c r="B146" s="39" t="s">
        <v>10</v>
      </c>
      <c r="C146" s="39">
        <v>1993</v>
      </c>
      <c r="D146" s="39">
        <v>68.7</v>
      </c>
    </row>
    <row r="147" spans="2:4" x14ac:dyDescent="0.2">
      <c r="B147" s="39" t="s">
        <v>10</v>
      </c>
      <c r="C147" s="39">
        <v>1994</v>
      </c>
      <c r="D147" s="39">
        <v>66.7</v>
      </c>
    </row>
    <row r="148" spans="2:4" x14ac:dyDescent="0.2">
      <c r="B148" s="39" t="s">
        <v>10</v>
      </c>
      <c r="C148" s="39">
        <v>1995</v>
      </c>
      <c r="D148" s="39">
        <v>67.099999999999994</v>
      </c>
    </row>
    <row r="149" spans="2:4" x14ac:dyDescent="0.2">
      <c r="B149" s="39" t="s">
        <v>10</v>
      </c>
      <c r="C149" s="39">
        <v>1996</v>
      </c>
      <c r="D149" s="39">
        <v>67.099999999999994</v>
      </c>
    </row>
    <row r="150" spans="2:4" x14ac:dyDescent="0.2">
      <c r="B150" s="39" t="s">
        <v>10</v>
      </c>
      <c r="C150" s="39">
        <v>1997</v>
      </c>
      <c r="D150" s="39">
        <v>65.099999999999994</v>
      </c>
    </row>
    <row r="151" spans="2:4" x14ac:dyDescent="0.2">
      <c r="B151" s="39" t="s">
        <v>10</v>
      </c>
      <c r="C151" s="39">
        <v>1998</v>
      </c>
      <c r="D151" s="39">
        <v>72.7</v>
      </c>
    </row>
    <row r="152" spans="2:4" x14ac:dyDescent="0.2">
      <c r="B152" s="39" t="s">
        <v>10</v>
      </c>
      <c r="C152" s="39">
        <v>1999</v>
      </c>
      <c r="D152" s="39">
        <v>67</v>
      </c>
    </row>
    <row r="153" spans="2:4" x14ac:dyDescent="0.2">
      <c r="B153" s="39" t="s">
        <v>10</v>
      </c>
      <c r="C153" s="39">
        <v>2000</v>
      </c>
      <c r="D153" s="39">
        <v>65.2</v>
      </c>
    </row>
    <row r="154" spans="2:4" x14ac:dyDescent="0.2">
      <c r="B154" s="39" t="s">
        <v>10</v>
      </c>
      <c r="C154" s="39">
        <v>2001</v>
      </c>
      <c r="D154" s="39">
        <v>65.3</v>
      </c>
    </row>
  </sheetData>
  <mergeCells count="10">
    <mergeCell ref="C8:Q8"/>
    <mergeCell ref="C9:Q9"/>
    <mergeCell ref="C10:Q10"/>
    <mergeCell ref="C11:Q11"/>
    <mergeCell ref="B2:Q2"/>
    <mergeCell ref="C3:Q3"/>
    <mergeCell ref="C4:Q4"/>
    <mergeCell ref="C5:Q5"/>
    <mergeCell ref="C6:Q6"/>
    <mergeCell ref="C7:Q7"/>
  </mergeCells>
  <pageMargins left="0.7" right="0.7" top="0.75" bottom="0.75" header="0.3" footer="0.3"/>
  <drawing r:id="rId1"/>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Q155"/>
  <sheetViews>
    <sheetView showGridLines="0" workbookViewId="0"/>
  </sheetViews>
  <sheetFormatPr defaultRowHeight="12.75" x14ac:dyDescent="0.2"/>
  <cols>
    <col min="1" max="1" width="3.28515625" customWidth="1"/>
    <col min="2" max="2" width="11.140625" bestFit="1" customWidth="1"/>
    <col min="3" max="3" width="9.7109375" bestFit="1" customWidth="1"/>
    <col min="4" max="4" width="17.28515625" bestFit="1" customWidth="1"/>
    <col min="5" max="5" width="3.28515625" customWidth="1"/>
    <col min="6" max="6" width="11.140625" customWidth="1"/>
    <col min="7" max="7" width="22.7109375" customWidth="1"/>
    <col min="8" max="8" width="3.28515625" customWidth="1"/>
  </cols>
  <sheetData>
    <row r="1" spans="2:17" ht="13.5" thickBot="1" x14ac:dyDescent="0.25"/>
    <row r="2" spans="2:17" ht="21" thickBot="1" x14ac:dyDescent="0.25">
      <c r="B2" s="58" t="s">
        <v>142</v>
      </c>
      <c r="C2" s="59"/>
      <c r="D2" s="59"/>
      <c r="E2" s="59"/>
      <c r="F2" s="59"/>
      <c r="G2" s="59"/>
      <c r="H2" s="59"/>
      <c r="I2" s="59"/>
      <c r="J2" s="59"/>
      <c r="K2" s="59"/>
      <c r="L2" s="59"/>
      <c r="M2" s="59"/>
      <c r="N2" s="59"/>
      <c r="O2" s="59"/>
      <c r="P2" s="59"/>
      <c r="Q2" s="60"/>
    </row>
    <row r="3" spans="2:17" ht="16.5" thickBot="1" x14ac:dyDescent="0.25">
      <c r="B3" s="55" t="b">
        <v>1</v>
      </c>
      <c r="C3" s="52" t="s">
        <v>39</v>
      </c>
      <c r="D3" s="52"/>
      <c r="E3" s="52"/>
      <c r="F3" s="52"/>
      <c r="G3" s="52"/>
      <c r="H3" s="52"/>
      <c r="I3" s="52"/>
      <c r="J3" s="52"/>
      <c r="K3" s="52"/>
      <c r="L3" s="52"/>
      <c r="M3" s="52"/>
      <c r="N3" s="52"/>
      <c r="O3" s="52"/>
      <c r="P3" s="52"/>
      <c r="Q3" s="61"/>
    </row>
    <row r="4" spans="2:17" ht="15" x14ac:dyDescent="0.2">
      <c r="B4" s="56" t="b">
        <v>1</v>
      </c>
      <c r="C4" s="45" t="s">
        <v>156</v>
      </c>
      <c r="D4" s="45"/>
      <c r="E4" s="45"/>
      <c r="F4" s="45"/>
      <c r="G4" s="45"/>
      <c r="H4" s="45"/>
      <c r="I4" s="45"/>
      <c r="J4" s="45"/>
      <c r="K4" s="45"/>
      <c r="L4" s="45"/>
      <c r="M4" s="45"/>
      <c r="N4" s="45"/>
      <c r="O4" s="45"/>
      <c r="P4" s="45"/>
      <c r="Q4" s="49"/>
    </row>
    <row r="5" spans="2:17" ht="15" x14ac:dyDescent="0.2">
      <c r="B5" s="56" t="b">
        <v>1</v>
      </c>
      <c r="C5" s="45" t="s">
        <v>157</v>
      </c>
      <c r="D5" s="45"/>
      <c r="E5" s="45"/>
      <c r="F5" s="45"/>
      <c r="G5" s="45"/>
      <c r="H5" s="45"/>
      <c r="I5" s="45"/>
      <c r="J5" s="45"/>
      <c r="K5" s="45"/>
      <c r="L5" s="45"/>
      <c r="M5" s="45"/>
      <c r="N5" s="45"/>
      <c r="O5" s="45"/>
      <c r="P5" s="45"/>
      <c r="Q5" s="49"/>
    </row>
    <row r="6" spans="2:17" ht="15.75" thickBot="1" x14ac:dyDescent="0.25">
      <c r="B6" s="56" t="b">
        <v>1</v>
      </c>
      <c r="C6" s="45" t="s">
        <v>158</v>
      </c>
      <c r="D6" s="45"/>
      <c r="E6" s="45"/>
      <c r="F6" s="45"/>
      <c r="G6" s="45"/>
      <c r="H6" s="45"/>
      <c r="I6" s="45"/>
      <c r="J6" s="45"/>
      <c r="K6" s="45"/>
      <c r="L6" s="45"/>
      <c r="M6" s="45"/>
      <c r="N6" s="45"/>
      <c r="O6" s="45"/>
      <c r="P6" s="45"/>
      <c r="Q6" s="49"/>
    </row>
    <row r="7" spans="2:17" ht="16.5" thickBot="1" x14ac:dyDescent="0.25">
      <c r="B7" s="55" t="b">
        <v>0</v>
      </c>
      <c r="C7" s="53" t="s">
        <v>31</v>
      </c>
      <c r="D7" s="53"/>
      <c r="E7" s="53"/>
      <c r="F7" s="53"/>
      <c r="G7" s="53"/>
      <c r="H7" s="53"/>
      <c r="I7" s="53"/>
      <c r="J7" s="53"/>
      <c r="K7" s="53"/>
      <c r="L7" s="53"/>
      <c r="M7" s="53"/>
      <c r="N7" s="53"/>
      <c r="O7" s="53"/>
      <c r="P7" s="53"/>
      <c r="Q7" s="54"/>
    </row>
    <row r="8" spans="2:17" ht="15" x14ac:dyDescent="0.2">
      <c r="B8" s="56" t="b">
        <v>1</v>
      </c>
      <c r="C8" s="45" t="s">
        <v>159</v>
      </c>
      <c r="D8" s="45"/>
      <c r="E8" s="45"/>
      <c r="F8" s="45"/>
      <c r="G8" s="45"/>
      <c r="H8" s="45"/>
      <c r="I8" s="45"/>
      <c r="J8" s="45"/>
      <c r="K8" s="45"/>
      <c r="L8" s="45"/>
      <c r="M8" s="45"/>
      <c r="N8" s="45"/>
      <c r="O8" s="45"/>
      <c r="P8" s="45"/>
      <c r="Q8" s="49"/>
    </row>
    <row r="9" spans="2:17" ht="15" x14ac:dyDescent="0.2">
      <c r="B9" s="56" t="b">
        <v>1</v>
      </c>
      <c r="C9" s="45" t="s">
        <v>160</v>
      </c>
      <c r="D9" s="45"/>
      <c r="E9" s="45"/>
      <c r="F9" s="45"/>
      <c r="G9" s="45"/>
      <c r="H9" s="45"/>
      <c r="I9" s="45"/>
      <c r="J9" s="45"/>
      <c r="K9" s="45"/>
      <c r="L9" s="45"/>
      <c r="M9" s="45"/>
      <c r="N9" s="45"/>
      <c r="O9" s="45"/>
      <c r="P9" s="45"/>
      <c r="Q9" s="49"/>
    </row>
    <row r="10" spans="2:17" ht="15" x14ac:dyDescent="0.2">
      <c r="B10" s="56" t="b">
        <v>1</v>
      </c>
      <c r="C10" s="45" t="s">
        <v>161</v>
      </c>
      <c r="D10" s="45"/>
      <c r="E10" s="45"/>
      <c r="F10" s="45"/>
      <c r="G10" s="45"/>
      <c r="H10" s="45"/>
      <c r="I10" s="45"/>
      <c r="J10" s="45"/>
      <c r="K10" s="45"/>
      <c r="L10" s="45"/>
      <c r="M10" s="45"/>
      <c r="N10" s="45"/>
      <c r="O10" s="45"/>
      <c r="P10" s="45"/>
      <c r="Q10" s="49"/>
    </row>
    <row r="11" spans="2:17" ht="15" x14ac:dyDescent="0.2">
      <c r="B11" s="56" t="b">
        <v>1</v>
      </c>
      <c r="C11" s="45" t="s">
        <v>162</v>
      </c>
      <c r="D11" s="45"/>
      <c r="E11" s="45"/>
      <c r="F11" s="45"/>
      <c r="G11" s="45"/>
      <c r="H11" s="45"/>
      <c r="I11" s="45"/>
      <c r="J11" s="45"/>
      <c r="K11" s="45"/>
      <c r="L11" s="45"/>
      <c r="M11" s="45"/>
      <c r="N11" s="45"/>
      <c r="O11" s="45"/>
      <c r="P11" s="45"/>
      <c r="Q11" s="49"/>
    </row>
    <row r="12" spans="2:17" ht="15.75" thickBot="1" x14ac:dyDescent="0.25">
      <c r="B12" s="57" t="b">
        <v>0</v>
      </c>
      <c r="C12" s="50" t="s">
        <v>163</v>
      </c>
      <c r="D12" s="50"/>
      <c r="E12" s="50"/>
      <c r="F12" s="50"/>
      <c r="G12" s="50"/>
      <c r="H12" s="50"/>
      <c r="I12" s="50"/>
      <c r="J12" s="50"/>
      <c r="K12" s="50"/>
      <c r="L12" s="50"/>
      <c r="M12" s="50"/>
      <c r="N12" s="50"/>
      <c r="O12" s="50"/>
      <c r="P12" s="50"/>
      <c r="Q12" s="51"/>
    </row>
    <row r="14" spans="2:17" x14ac:dyDescent="0.2">
      <c r="B14" s="39" t="s">
        <v>14</v>
      </c>
      <c r="C14" s="39" t="s">
        <v>0</v>
      </c>
      <c r="D14" s="39" t="s">
        <v>1</v>
      </c>
    </row>
    <row r="15" spans="2:17" x14ac:dyDescent="0.2">
      <c r="B15" s="39" t="s">
        <v>5</v>
      </c>
      <c r="C15" s="39">
        <v>1990</v>
      </c>
      <c r="D15" s="39">
        <v>54.3</v>
      </c>
    </row>
    <row r="16" spans="2:17" x14ac:dyDescent="0.2">
      <c r="B16" s="39" t="s">
        <v>9</v>
      </c>
      <c r="C16" s="39">
        <v>1990</v>
      </c>
      <c r="D16" s="39">
        <v>73.8</v>
      </c>
    </row>
    <row r="17" spans="2:4" x14ac:dyDescent="0.2">
      <c r="B17" s="39" t="s">
        <v>13</v>
      </c>
      <c r="C17" s="39">
        <v>1990</v>
      </c>
      <c r="D17" s="39">
        <v>41.3</v>
      </c>
    </row>
    <row r="18" spans="2:4" x14ac:dyDescent="0.2">
      <c r="B18" s="39" t="s">
        <v>3</v>
      </c>
      <c r="C18" s="39">
        <v>1990</v>
      </c>
      <c r="D18" s="39">
        <v>42.2</v>
      </c>
    </row>
    <row r="19" spans="2:4" x14ac:dyDescent="0.2">
      <c r="B19" s="39" t="s">
        <v>2</v>
      </c>
      <c r="C19" s="39">
        <v>1990</v>
      </c>
      <c r="D19" s="39">
        <v>40.799999999999997</v>
      </c>
    </row>
    <row r="20" spans="2:4" x14ac:dyDescent="0.2">
      <c r="B20" s="39" t="s">
        <v>8</v>
      </c>
      <c r="C20" s="39">
        <v>1990</v>
      </c>
      <c r="D20" s="39">
        <v>76.900000000000006</v>
      </c>
    </row>
    <row r="21" spans="2:4" x14ac:dyDescent="0.2">
      <c r="B21" s="39" t="s">
        <v>7</v>
      </c>
      <c r="C21" s="39">
        <v>1990</v>
      </c>
      <c r="D21" s="39">
        <v>72</v>
      </c>
    </row>
    <row r="22" spans="2:4" x14ac:dyDescent="0.2">
      <c r="B22" s="39" t="s">
        <v>4</v>
      </c>
      <c r="C22" s="39">
        <v>1990</v>
      </c>
      <c r="D22" s="39">
        <v>48.1</v>
      </c>
    </row>
    <row r="23" spans="2:4" x14ac:dyDescent="0.2">
      <c r="B23" s="39" t="s">
        <v>6</v>
      </c>
      <c r="C23" s="39">
        <v>1990</v>
      </c>
      <c r="D23" s="39">
        <v>61.6</v>
      </c>
    </row>
    <row r="24" spans="2:4" x14ac:dyDescent="0.2">
      <c r="B24" s="39" t="s">
        <v>12</v>
      </c>
      <c r="C24" s="39">
        <v>1990</v>
      </c>
      <c r="D24" s="39">
        <v>48.6</v>
      </c>
    </row>
    <row r="25" spans="2:4" x14ac:dyDescent="0.2">
      <c r="B25" s="39" t="s">
        <v>11</v>
      </c>
      <c r="C25" s="39">
        <v>1990</v>
      </c>
      <c r="D25" s="39">
        <v>58.7</v>
      </c>
    </row>
    <row r="26" spans="2:4" x14ac:dyDescent="0.2">
      <c r="B26" s="39" t="s">
        <v>10</v>
      </c>
      <c r="C26" s="39">
        <v>1990</v>
      </c>
      <c r="D26" s="39">
        <v>66.099999999999994</v>
      </c>
    </row>
    <row r="27" spans="2:4" x14ac:dyDescent="0.2">
      <c r="B27" s="39" t="s">
        <v>5</v>
      </c>
      <c r="C27" s="39">
        <v>1991</v>
      </c>
      <c r="D27" s="39">
        <v>56</v>
      </c>
    </row>
    <row r="28" spans="2:4" x14ac:dyDescent="0.2">
      <c r="B28" s="39" t="s">
        <v>9</v>
      </c>
      <c r="C28" s="39">
        <v>1991</v>
      </c>
      <c r="D28" s="39">
        <v>77</v>
      </c>
    </row>
    <row r="29" spans="2:4" x14ac:dyDescent="0.2">
      <c r="B29" s="39" t="s">
        <v>13</v>
      </c>
      <c r="C29" s="39">
        <v>1991</v>
      </c>
      <c r="D29" s="39">
        <v>38.5</v>
      </c>
    </row>
    <row r="30" spans="2:4" x14ac:dyDescent="0.2">
      <c r="B30" s="39" t="s">
        <v>3</v>
      </c>
      <c r="C30" s="39">
        <v>1991</v>
      </c>
      <c r="D30" s="39">
        <v>39.5</v>
      </c>
    </row>
    <row r="31" spans="2:4" x14ac:dyDescent="0.2">
      <c r="B31" s="39" t="s">
        <v>2</v>
      </c>
      <c r="C31" s="39">
        <v>1991</v>
      </c>
      <c r="D31" s="39">
        <v>34</v>
      </c>
    </row>
    <row r="32" spans="2:4" x14ac:dyDescent="0.2">
      <c r="B32" s="39" t="s">
        <v>8</v>
      </c>
      <c r="C32" s="39">
        <v>1991</v>
      </c>
      <c r="D32" s="39">
        <v>77.900000000000006</v>
      </c>
    </row>
    <row r="33" spans="2:4" x14ac:dyDescent="0.2">
      <c r="B33" s="39" t="s">
        <v>7</v>
      </c>
      <c r="C33" s="39">
        <v>1991</v>
      </c>
      <c r="D33" s="39">
        <v>72.3</v>
      </c>
    </row>
    <row r="34" spans="2:4" x14ac:dyDescent="0.2">
      <c r="B34" s="39" t="s">
        <v>4</v>
      </c>
      <c r="C34" s="39">
        <v>1991</v>
      </c>
      <c r="D34" s="39">
        <v>46.1</v>
      </c>
    </row>
    <row r="35" spans="2:4" x14ac:dyDescent="0.2">
      <c r="B35" s="39" t="s">
        <v>6</v>
      </c>
      <c r="C35" s="39">
        <v>1991</v>
      </c>
      <c r="D35" s="39">
        <v>69.3</v>
      </c>
    </row>
    <row r="36" spans="2:4" x14ac:dyDescent="0.2">
      <c r="B36" s="39" t="s">
        <v>12</v>
      </c>
      <c r="C36" s="39">
        <v>1991</v>
      </c>
      <c r="D36" s="39">
        <v>45.7</v>
      </c>
    </row>
    <row r="37" spans="2:4" x14ac:dyDescent="0.2">
      <c r="B37" s="39" t="s">
        <v>11</v>
      </c>
      <c r="C37" s="39">
        <v>1991</v>
      </c>
      <c r="D37" s="39">
        <v>56.6</v>
      </c>
    </row>
    <row r="38" spans="2:4" x14ac:dyDescent="0.2">
      <c r="B38" s="39" t="s">
        <v>10</v>
      </c>
      <c r="C38" s="39">
        <v>1991</v>
      </c>
      <c r="D38" s="39">
        <v>67.599999999999994</v>
      </c>
    </row>
    <row r="39" spans="2:4" x14ac:dyDescent="0.2">
      <c r="B39" s="39" t="s">
        <v>5</v>
      </c>
      <c r="C39" s="39">
        <v>1992</v>
      </c>
      <c r="D39" s="39">
        <v>53.1</v>
      </c>
    </row>
    <row r="40" spans="2:4" x14ac:dyDescent="0.2">
      <c r="B40" s="39" t="s">
        <v>9</v>
      </c>
      <c r="C40" s="39">
        <v>1992</v>
      </c>
      <c r="D40" s="39">
        <v>70.400000000000006</v>
      </c>
    </row>
    <row r="41" spans="2:4" x14ac:dyDescent="0.2">
      <c r="B41" s="39" t="s">
        <v>13</v>
      </c>
      <c r="C41" s="39">
        <v>1992</v>
      </c>
      <c r="D41" s="39">
        <v>36.799999999999997</v>
      </c>
    </row>
    <row r="42" spans="2:4" x14ac:dyDescent="0.2">
      <c r="B42" s="39" t="s">
        <v>3</v>
      </c>
      <c r="C42" s="39">
        <v>1992</v>
      </c>
      <c r="D42" s="39">
        <v>38</v>
      </c>
    </row>
    <row r="43" spans="2:4" x14ac:dyDescent="0.2">
      <c r="B43" s="39" t="s">
        <v>2</v>
      </c>
      <c r="C43" s="39">
        <v>1992</v>
      </c>
      <c r="D43" s="39">
        <v>35</v>
      </c>
    </row>
    <row r="44" spans="2:4" x14ac:dyDescent="0.2">
      <c r="B44" s="39" t="s">
        <v>8</v>
      </c>
      <c r="C44" s="39">
        <v>1992</v>
      </c>
      <c r="D44" s="39">
        <v>75.900000000000006</v>
      </c>
    </row>
    <row r="45" spans="2:4" x14ac:dyDescent="0.2">
      <c r="B45" s="39" t="s">
        <v>7</v>
      </c>
      <c r="C45" s="39">
        <v>1992</v>
      </c>
      <c r="D45" s="39">
        <v>68.599999999999994</v>
      </c>
    </row>
    <row r="46" spans="2:4" x14ac:dyDescent="0.2">
      <c r="B46" s="39" t="s">
        <v>4</v>
      </c>
      <c r="C46" s="39">
        <v>1992</v>
      </c>
      <c r="D46" s="39">
        <v>41.9</v>
      </c>
    </row>
    <row r="47" spans="2:4" x14ac:dyDescent="0.2">
      <c r="B47" s="39" t="s">
        <v>6</v>
      </c>
      <c r="C47" s="39">
        <v>1992</v>
      </c>
      <c r="D47" s="39">
        <v>59.7</v>
      </c>
    </row>
    <row r="48" spans="2:4" x14ac:dyDescent="0.2">
      <c r="B48" s="39" t="s">
        <v>12</v>
      </c>
      <c r="C48" s="39">
        <v>1992</v>
      </c>
      <c r="D48" s="39">
        <v>45.7</v>
      </c>
    </row>
    <row r="49" spans="2:4" x14ac:dyDescent="0.2">
      <c r="B49" s="39" t="s">
        <v>11</v>
      </c>
      <c r="C49" s="39">
        <v>1992</v>
      </c>
      <c r="D49" s="39">
        <v>52.2</v>
      </c>
    </row>
    <row r="50" spans="2:4" x14ac:dyDescent="0.2">
      <c r="B50" s="39" t="s">
        <v>10</v>
      </c>
      <c r="C50" s="39">
        <v>1992</v>
      </c>
      <c r="D50" s="39">
        <v>66</v>
      </c>
    </row>
    <row r="51" spans="2:4" x14ac:dyDescent="0.2">
      <c r="B51" s="39" t="s">
        <v>5</v>
      </c>
      <c r="C51" s="39">
        <v>1993</v>
      </c>
      <c r="D51" s="39">
        <v>52.6</v>
      </c>
    </row>
    <row r="52" spans="2:4" x14ac:dyDescent="0.2">
      <c r="B52" s="39" t="s">
        <v>9</v>
      </c>
      <c r="C52" s="39">
        <v>1993</v>
      </c>
      <c r="D52" s="39">
        <v>78</v>
      </c>
    </row>
    <row r="53" spans="2:4" x14ac:dyDescent="0.2">
      <c r="B53" s="39" t="s">
        <v>13</v>
      </c>
      <c r="C53" s="39">
        <v>1993</v>
      </c>
      <c r="D53" s="39">
        <v>34</v>
      </c>
    </row>
    <row r="54" spans="2:4" x14ac:dyDescent="0.2">
      <c r="B54" s="39" t="s">
        <v>3</v>
      </c>
      <c r="C54" s="39">
        <v>1993</v>
      </c>
      <c r="D54" s="39">
        <v>31.7</v>
      </c>
    </row>
    <row r="55" spans="2:4" x14ac:dyDescent="0.2">
      <c r="B55" s="39" t="s">
        <v>2</v>
      </c>
      <c r="C55" s="39">
        <v>1993</v>
      </c>
      <c r="D55" s="39">
        <v>36.799999999999997</v>
      </c>
    </row>
    <row r="56" spans="2:4" x14ac:dyDescent="0.2">
      <c r="B56" s="39" t="s">
        <v>8</v>
      </c>
      <c r="C56" s="39">
        <v>1993</v>
      </c>
      <c r="D56" s="39">
        <v>79.7</v>
      </c>
    </row>
    <row r="57" spans="2:4" x14ac:dyDescent="0.2">
      <c r="B57" s="39" t="s">
        <v>7</v>
      </c>
      <c r="C57" s="39">
        <v>1993</v>
      </c>
      <c r="D57" s="39">
        <v>72</v>
      </c>
    </row>
    <row r="58" spans="2:4" x14ac:dyDescent="0.2">
      <c r="B58" s="39" t="s">
        <v>4</v>
      </c>
      <c r="C58" s="39">
        <v>1993</v>
      </c>
      <c r="D58" s="39">
        <v>39.299999999999997</v>
      </c>
    </row>
    <row r="59" spans="2:4" x14ac:dyDescent="0.2">
      <c r="B59" s="39" t="s">
        <v>6</v>
      </c>
      <c r="C59" s="39">
        <v>1993</v>
      </c>
      <c r="D59" s="39">
        <v>64.5</v>
      </c>
    </row>
    <row r="60" spans="2:4" x14ac:dyDescent="0.2">
      <c r="B60" s="39" t="s">
        <v>12</v>
      </c>
      <c r="C60" s="39">
        <v>1993</v>
      </c>
      <c r="D60" s="39">
        <v>45.3</v>
      </c>
    </row>
    <row r="61" spans="2:4" x14ac:dyDescent="0.2">
      <c r="B61" s="39" t="s">
        <v>11</v>
      </c>
      <c r="C61" s="39">
        <v>1993</v>
      </c>
      <c r="D61" s="39">
        <v>54.2</v>
      </c>
    </row>
    <row r="62" spans="2:4" x14ac:dyDescent="0.2">
      <c r="B62" s="39" t="s">
        <v>10</v>
      </c>
      <c r="C62" s="39">
        <v>1993</v>
      </c>
      <c r="D62" s="39">
        <v>68.7</v>
      </c>
    </row>
    <row r="63" spans="2:4" x14ac:dyDescent="0.2">
      <c r="B63" s="39" t="s">
        <v>5</v>
      </c>
      <c r="C63" s="39">
        <v>1994</v>
      </c>
      <c r="D63" s="39">
        <v>60.1</v>
      </c>
    </row>
    <row r="64" spans="2:4" x14ac:dyDescent="0.2">
      <c r="B64" s="39" t="s">
        <v>9</v>
      </c>
      <c r="C64" s="39">
        <v>1994</v>
      </c>
      <c r="D64" s="39">
        <v>73.8</v>
      </c>
    </row>
    <row r="65" spans="2:4" x14ac:dyDescent="0.2">
      <c r="B65" s="39" t="s">
        <v>13</v>
      </c>
      <c r="C65" s="39">
        <v>1994</v>
      </c>
      <c r="D65" s="39">
        <v>40.299999999999997</v>
      </c>
    </row>
    <row r="66" spans="2:4" x14ac:dyDescent="0.2">
      <c r="B66" s="39" t="s">
        <v>3</v>
      </c>
      <c r="C66" s="39">
        <v>1994</v>
      </c>
      <c r="D66" s="39">
        <v>33.299999999999997</v>
      </c>
    </row>
    <row r="67" spans="2:4" x14ac:dyDescent="0.2">
      <c r="B67" s="39" t="s">
        <v>2</v>
      </c>
      <c r="C67" s="39">
        <v>1994</v>
      </c>
      <c r="D67" s="39">
        <v>26.1</v>
      </c>
    </row>
    <row r="68" spans="2:4" x14ac:dyDescent="0.2">
      <c r="B68" s="39" t="s">
        <v>8</v>
      </c>
      <c r="C68" s="39">
        <v>1994</v>
      </c>
      <c r="D68" s="39">
        <v>79.5</v>
      </c>
    </row>
    <row r="69" spans="2:4" x14ac:dyDescent="0.2">
      <c r="B69" s="39" t="s">
        <v>7</v>
      </c>
      <c r="C69" s="39">
        <v>1994</v>
      </c>
      <c r="D69" s="39">
        <v>76.099999999999994</v>
      </c>
    </row>
    <row r="70" spans="2:4" x14ac:dyDescent="0.2">
      <c r="B70" s="39" t="s">
        <v>4</v>
      </c>
      <c r="C70" s="39">
        <v>1994</v>
      </c>
      <c r="D70" s="39">
        <v>42.7</v>
      </c>
    </row>
    <row r="71" spans="2:4" x14ac:dyDescent="0.2">
      <c r="B71" s="39" t="s">
        <v>6</v>
      </c>
      <c r="C71" s="39">
        <v>1994</v>
      </c>
      <c r="D71" s="39">
        <v>59.9</v>
      </c>
    </row>
    <row r="72" spans="2:4" x14ac:dyDescent="0.2">
      <c r="B72" s="39" t="s">
        <v>12</v>
      </c>
      <c r="C72" s="39">
        <v>1994</v>
      </c>
      <c r="D72" s="39">
        <v>49.1</v>
      </c>
    </row>
    <row r="73" spans="2:4" x14ac:dyDescent="0.2">
      <c r="B73" s="39" t="s">
        <v>11</v>
      </c>
      <c r="C73" s="39">
        <v>1994</v>
      </c>
      <c r="D73" s="39">
        <v>53.9</v>
      </c>
    </row>
    <row r="74" spans="2:4" x14ac:dyDescent="0.2">
      <c r="B74" s="39" t="s">
        <v>10</v>
      </c>
      <c r="C74" s="39">
        <v>1994</v>
      </c>
      <c r="D74" s="39">
        <v>66.7</v>
      </c>
    </row>
    <row r="75" spans="2:4" x14ac:dyDescent="0.2">
      <c r="B75" s="39" t="s">
        <v>5</v>
      </c>
      <c r="C75" s="39">
        <v>1995</v>
      </c>
      <c r="D75" s="39">
        <v>52.6</v>
      </c>
    </row>
    <row r="76" spans="2:4" x14ac:dyDescent="0.2">
      <c r="B76" s="39" t="s">
        <v>9</v>
      </c>
      <c r="C76" s="39">
        <v>1995</v>
      </c>
      <c r="D76" s="39">
        <v>77.599999999999994</v>
      </c>
    </row>
    <row r="77" spans="2:4" x14ac:dyDescent="0.2">
      <c r="B77" s="39" t="s">
        <v>13</v>
      </c>
      <c r="C77" s="39">
        <v>1995</v>
      </c>
      <c r="D77" s="39">
        <v>33</v>
      </c>
    </row>
    <row r="78" spans="2:4" x14ac:dyDescent="0.2">
      <c r="B78" s="39" t="s">
        <v>3</v>
      </c>
      <c r="C78" s="39">
        <v>1995</v>
      </c>
      <c r="D78" s="39">
        <v>31.3</v>
      </c>
    </row>
    <row r="79" spans="2:4" x14ac:dyDescent="0.2">
      <c r="B79" s="39" t="s">
        <v>2</v>
      </c>
      <c r="C79" s="39">
        <v>1995</v>
      </c>
      <c r="D79" s="39">
        <v>37.200000000000003</v>
      </c>
    </row>
    <row r="80" spans="2:4" x14ac:dyDescent="0.2">
      <c r="B80" s="39" t="s">
        <v>8</v>
      </c>
      <c r="C80" s="39">
        <v>1995</v>
      </c>
      <c r="D80" s="39">
        <v>78.2</v>
      </c>
    </row>
    <row r="81" spans="2:4" x14ac:dyDescent="0.2">
      <c r="B81" s="39" t="s">
        <v>7</v>
      </c>
      <c r="C81" s="39">
        <v>1995</v>
      </c>
      <c r="D81" s="39">
        <v>71.5</v>
      </c>
    </row>
    <row r="82" spans="2:4" x14ac:dyDescent="0.2">
      <c r="B82" s="39" t="s">
        <v>4</v>
      </c>
      <c r="C82" s="39">
        <v>1995</v>
      </c>
      <c r="D82" s="39">
        <v>46.1</v>
      </c>
    </row>
    <row r="83" spans="2:4" x14ac:dyDescent="0.2">
      <c r="B83" s="39" t="s">
        <v>6</v>
      </c>
      <c r="C83" s="39">
        <v>1995</v>
      </c>
      <c r="D83" s="39">
        <v>62.7</v>
      </c>
    </row>
    <row r="84" spans="2:4" x14ac:dyDescent="0.2">
      <c r="B84" s="39" t="s">
        <v>12</v>
      </c>
      <c r="C84" s="39">
        <v>1995</v>
      </c>
      <c r="D84" s="39">
        <v>39.700000000000003</v>
      </c>
    </row>
    <row r="85" spans="2:4" x14ac:dyDescent="0.2">
      <c r="B85" s="39" t="s">
        <v>11</v>
      </c>
      <c r="C85" s="39">
        <v>1995</v>
      </c>
      <c r="D85" s="39">
        <v>58.3</v>
      </c>
    </row>
    <row r="86" spans="2:4" x14ac:dyDescent="0.2">
      <c r="B86" s="39" t="s">
        <v>10</v>
      </c>
      <c r="C86" s="39">
        <v>1995</v>
      </c>
      <c r="D86" s="39">
        <v>67.099999999999994</v>
      </c>
    </row>
    <row r="87" spans="2:4" x14ac:dyDescent="0.2">
      <c r="B87" s="39" t="s">
        <v>5</v>
      </c>
      <c r="C87" s="39">
        <v>1996</v>
      </c>
      <c r="D87" s="39">
        <v>54.6</v>
      </c>
    </row>
    <row r="88" spans="2:4" x14ac:dyDescent="0.2">
      <c r="B88" s="39" t="s">
        <v>9</v>
      </c>
      <c r="C88" s="39">
        <v>1996</v>
      </c>
      <c r="D88" s="39">
        <v>72.7</v>
      </c>
    </row>
    <row r="89" spans="2:4" x14ac:dyDescent="0.2">
      <c r="B89" s="39" t="s">
        <v>13</v>
      </c>
      <c r="C89" s="39">
        <v>1996</v>
      </c>
      <c r="D89" s="39">
        <v>38.299999999999997</v>
      </c>
    </row>
    <row r="90" spans="2:4" x14ac:dyDescent="0.2">
      <c r="B90" s="39" t="s">
        <v>3</v>
      </c>
      <c r="C90" s="39">
        <v>1996</v>
      </c>
      <c r="D90" s="39">
        <v>34.700000000000003</v>
      </c>
    </row>
    <row r="91" spans="2:4" x14ac:dyDescent="0.2">
      <c r="B91" s="39" t="s">
        <v>2</v>
      </c>
      <c r="C91" s="39">
        <v>1996</v>
      </c>
      <c r="D91" s="39">
        <v>30</v>
      </c>
    </row>
    <row r="92" spans="2:4" x14ac:dyDescent="0.2">
      <c r="B92" s="39" t="s">
        <v>8</v>
      </c>
      <c r="C92" s="39">
        <v>1996</v>
      </c>
      <c r="D92" s="39">
        <v>72.900000000000006</v>
      </c>
    </row>
    <row r="93" spans="2:4" x14ac:dyDescent="0.2">
      <c r="B93" s="39" t="s">
        <v>7</v>
      </c>
      <c r="C93" s="39">
        <v>1996</v>
      </c>
      <c r="D93" s="39">
        <v>72.8</v>
      </c>
    </row>
    <row r="94" spans="2:4" x14ac:dyDescent="0.2">
      <c r="B94" s="39" t="s">
        <v>4</v>
      </c>
      <c r="C94" s="39">
        <v>1996</v>
      </c>
      <c r="D94" s="39">
        <v>39.700000000000003</v>
      </c>
    </row>
    <row r="95" spans="2:4" x14ac:dyDescent="0.2">
      <c r="B95" s="39" t="s">
        <v>6</v>
      </c>
      <c r="C95" s="39">
        <v>1996</v>
      </c>
      <c r="D95" s="39">
        <v>59.7</v>
      </c>
    </row>
    <row r="96" spans="2:4" x14ac:dyDescent="0.2">
      <c r="B96" s="39" t="s">
        <v>12</v>
      </c>
      <c r="C96" s="39">
        <v>1996</v>
      </c>
      <c r="D96" s="39">
        <v>39.299999999999997</v>
      </c>
    </row>
    <row r="97" spans="2:4" x14ac:dyDescent="0.2">
      <c r="B97" s="39" t="s">
        <v>11</v>
      </c>
      <c r="C97" s="39">
        <v>1996</v>
      </c>
      <c r="D97" s="39">
        <v>55.7</v>
      </c>
    </row>
    <row r="98" spans="2:4" x14ac:dyDescent="0.2">
      <c r="B98" s="39" t="s">
        <v>10</v>
      </c>
      <c r="C98" s="39">
        <v>1996</v>
      </c>
      <c r="D98" s="39">
        <v>67.099999999999994</v>
      </c>
    </row>
    <row r="99" spans="2:4" x14ac:dyDescent="0.2">
      <c r="B99" s="39" t="s">
        <v>5</v>
      </c>
      <c r="C99" s="39">
        <v>1997</v>
      </c>
      <c r="D99" s="39">
        <v>50.3</v>
      </c>
    </row>
    <row r="100" spans="2:4" x14ac:dyDescent="0.2">
      <c r="B100" s="39" t="s">
        <v>9</v>
      </c>
      <c r="C100" s="39">
        <v>1997</v>
      </c>
      <c r="D100" s="39">
        <v>73.3</v>
      </c>
    </row>
    <row r="101" spans="2:4" x14ac:dyDescent="0.2">
      <c r="B101" s="39" t="s">
        <v>13</v>
      </c>
      <c r="C101" s="39">
        <v>1997</v>
      </c>
      <c r="D101" s="39">
        <v>37.200000000000003</v>
      </c>
    </row>
    <row r="102" spans="2:4" x14ac:dyDescent="0.2">
      <c r="B102" s="39" t="s">
        <v>3</v>
      </c>
      <c r="C102" s="39">
        <v>1997</v>
      </c>
      <c r="D102" s="39">
        <v>40.5</v>
      </c>
    </row>
    <row r="103" spans="2:4" x14ac:dyDescent="0.2">
      <c r="B103" s="39" t="s">
        <v>2</v>
      </c>
      <c r="C103" s="39">
        <v>1997</v>
      </c>
      <c r="D103" s="39">
        <v>32.5</v>
      </c>
    </row>
    <row r="104" spans="2:4" x14ac:dyDescent="0.2">
      <c r="B104" s="39" t="s">
        <v>8</v>
      </c>
      <c r="C104" s="39">
        <v>1997</v>
      </c>
      <c r="D104" s="39">
        <v>75.8</v>
      </c>
    </row>
    <row r="105" spans="2:4" x14ac:dyDescent="0.2">
      <c r="B105" s="39" t="s">
        <v>7</v>
      </c>
      <c r="C105" s="39">
        <v>1997</v>
      </c>
      <c r="D105" s="39">
        <v>69.099999999999994</v>
      </c>
    </row>
    <row r="106" spans="2:4" x14ac:dyDescent="0.2">
      <c r="B106" s="39" t="s">
        <v>4</v>
      </c>
      <c r="C106" s="39">
        <v>1997</v>
      </c>
      <c r="D106" s="39">
        <v>44.6</v>
      </c>
    </row>
    <row r="107" spans="2:4" x14ac:dyDescent="0.2">
      <c r="B107" s="39" t="s">
        <v>6</v>
      </c>
      <c r="C107" s="39">
        <v>1997</v>
      </c>
      <c r="D107" s="39">
        <v>58.8</v>
      </c>
    </row>
    <row r="108" spans="2:4" x14ac:dyDescent="0.2">
      <c r="B108" s="39" t="s">
        <v>12</v>
      </c>
      <c r="C108" s="39">
        <v>1997</v>
      </c>
      <c r="D108" s="39">
        <v>43.6</v>
      </c>
    </row>
    <row r="109" spans="2:4" x14ac:dyDescent="0.2">
      <c r="B109" s="39" t="s">
        <v>11</v>
      </c>
      <c r="C109" s="39">
        <v>1997</v>
      </c>
      <c r="D109" s="39">
        <v>53.7</v>
      </c>
    </row>
    <row r="110" spans="2:4" x14ac:dyDescent="0.2">
      <c r="B110" s="39" t="s">
        <v>10</v>
      </c>
      <c r="C110" s="39">
        <v>1997</v>
      </c>
      <c r="D110" s="39">
        <v>65.099999999999994</v>
      </c>
    </row>
    <row r="111" spans="2:4" x14ac:dyDescent="0.2">
      <c r="B111" s="39" t="s">
        <v>5</v>
      </c>
      <c r="C111" s="39">
        <v>1998</v>
      </c>
      <c r="D111" s="39">
        <v>54.9</v>
      </c>
    </row>
    <row r="112" spans="2:4" x14ac:dyDescent="0.2">
      <c r="B112" s="39" t="s">
        <v>9</v>
      </c>
      <c r="C112" s="39">
        <v>1998</v>
      </c>
      <c r="D112" s="39">
        <v>76.2</v>
      </c>
    </row>
    <row r="113" spans="2:4" x14ac:dyDescent="0.2">
      <c r="B113" s="39" t="s">
        <v>13</v>
      </c>
      <c r="C113" s="39">
        <v>1998</v>
      </c>
      <c r="D113" s="39">
        <v>40.9</v>
      </c>
    </row>
    <row r="114" spans="2:4" x14ac:dyDescent="0.2">
      <c r="B114" s="39" t="s">
        <v>3</v>
      </c>
      <c r="C114" s="39">
        <v>1998</v>
      </c>
      <c r="D114" s="39">
        <v>41</v>
      </c>
    </row>
    <row r="115" spans="2:4" x14ac:dyDescent="0.2">
      <c r="B115" s="39" t="s">
        <v>2</v>
      </c>
      <c r="C115" s="39">
        <v>1998</v>
      </c>
      <c r="D115" s="39">
        <v>40.1</v>
      </c>
    </row>
    <row r="116" spans="2:4" x14ac:dyDescent="0.2">
      <c r="B116" s="39" t="s">
        <v>8</v>
      </c>
      <c r="C116" s="39">
        <v>1998</v>
      </c>
      <c r="D116" s="39">
        <v>75.3</v>
      </c>
    </row>
    <row r="117" spans="2:4" x14ac:dyDescent="0.2">
      <c r="B117" s="39" t="s">
        <v>7</v>
      </c>
      <c r="C117" s="39">
        <v>1998</v>
      </c>
      <c r="D117" s="39">
        <v>70.400000000000006</v>
      </c>
    </row>
    <row r="118" spans="2:4" x14ac:dyDescent="0.2">
      <c r="B118" s="39" t="s">
        <v>4</v>
      </c>
      <c r="C118" s="39">
        <v>1998</v>
      </c>
      <c r="D118" s="39">
        <v>45.5</v>
      </c>
    </row>
    <row r="119" spans="2:4" x14ac:dyDescent="0.2">
      <c r="B119" s="39" t="s">
        <v>6</v>
      </c>
      <c r="C119" s="39">
        <v>1998</v>
      </c>
      <c r="D119" s="39">
        <v>66</v>
      </c>
    </row>
    <row r="120" spans="2:4" x14ac:dyDescent="0.2">
      <c r="B120" s="39" t="s">
        <v>12</v>
      </c>
      <c r="C120" s="39">
        <v>1998</v>
      </c>
      <c r="D120" s="39">
        <v>45.6</v>
      </c>
    </row>
    <row r="121" spans="2:4" x14ac:dyDescent="0.2">
      <c r="B121" s="39" t="s">
        <v>11</v>
      </c>
      <c r="C121" s="39">
        <v>1998</v>
      </c>
      <c r="D121" s="39">
        <v>56.2</v>
      </c>
    </row>
    <row r="122" spans="2:4" x14ac:dyDescent="0.2">
      <c r="B122" s="39" t="s">
        <v>10</v>
      </c>
      <c r="C122" s="39">
        <v>1998</v>
      </c>
      <c r="D122" s="39">
        <v>72.7</v>
      </c>
    </row>
    <row r="123" spans="2:4" x14ac:dyDescent="0.2">
      <c r="B123" s="39" t="s">
        <v>5</v>
      </c>
      <c r="C123" s="39">
        <v>1999</v>
      </c>
      <c r="D123" s="39">
        <v>53</v>
      </c>
    </row>
    <row r="124" spans="2:4" x14ac:dyDescent="0.2">
      <c r="B124" s="39" t="s">
        <v>9</v>
      </c>
      <c r="C124" s="39">
        <v>1999</v>
      </c>
      <c r="D124" s="39">
        <v>75.400000000000006</v>
      </c>
    </row>
    <row r="125" spans="2:4" x14ac:dyDescent="0.2">
      <c r="B125" s="39" t="s">
        <v>13</v>
      </c>
      <c r="C125" s="39">
        <v>1999</v>
      </c>
      <c r="D125" s="39">
        <v>38.200000000000003</v>
      </c>
    </row>
    <row r="126" spans="2:4" x14ac:dyDescent="0.2">
      <c r="B126" s="39" t="s">
        <v>3</v>
      </c>
      <c r="C126" s="39">
        <v>1999</v>
      </c>
      <c r="D126" s="39">
        <v>37.5</v>
      </c>
    </row>
    <row r="127" spans="2:4" x14ac:dyDescent="0.2">
      <c r="B127" s="39" t="s">
        <v>2</v>
      </c>
      <c r="C127" s="39">
        <v>1999</v>
      </c>
      <c r="D127" s="39">
        <v>34.9</v>
      </c>
    </row>
    <row r="128" spans="2:4" x14ac:dyDescent="0.2">
      <c r="B128" s="39" t="s">
        <v>8</v>
      </c>
      <c r="C128" s="39">
        <v>1999</v>
      </c>
      <c r="D128" s="39">
        <v>78.5</v>
      </c>
    </row>
    <row r="129" spans="2:4" x14ac:dyDescent="0.2">
      <c r="B129" s="39" t="s">
        <v>7</v>
      </c>
      <c r="C129" s="39">
        <v>1999</v>
      </c>
      <c r="D129" s="39">
        <v>70.8</v>
      </c>
    </row>
    <row r="130" spans="2:4" x14ac:dyDescent="0.2">
      <c r="B130" s="39" t="s">
        <v>4</v>
      </c>
      <c r="C130" s="39">
        <v>1999</v>
      </c>
      <c r="D130" s="39">
        <v>41.4</v>
      </c>
    </row>
    <row r="131" spans="2:4" x14ac:dyDescent="0.2">
      <c r="B131" s="39" t="s">
        <v>6</v>
      </c>
      <c r="C131" s="39">
        <v>1999</v>
      </c>
      <c r="D131" s="39">
        <v>62.8</v>
      </c>
    </row>
    <row r="132" spans="2:4" x14ac:dyDescent="0.2">
      <c r="B132" s="39" t="s">
        <v>12</v>
      </c>
      <c r="C132" s="39">
        <v>1999</v>
      </c>
      <c r="D132" s="39">
        <v>50.1</v>
      </c>
    </row>
    <row r="133" spans="2:4" x14ac:dyDescent="0.2">
      <c r="B133" s="39" t="s">
        <v>11</v>
      </c>
      <c r="C133" s="39">
        <v>1999</v>
      </c>
      <c r="D133" s="39">
        <v>53.1</v>
      </c>
    </row>
    <row r="134" spans="2:4" x14ac:dyDescent="0.2">
      <c r="B134" s="39" t="s">
        <v>10</v>
      </c>
      <c r="C134" s="39">
        <v>1999</v>
      </c>
      <c r="D134" s="39">
        <v>67</v>
      </c>
    </row>
    <row r="135" spans="2:4" x14ac:dyDescent="0.2">
      <c r="B135" s="39" t="s">
        <v>5</v>
      </c>
      <c r="C135" s="39">
        <v>2000</v>
      </c>
      <c r="D135" s="39">
        <v>53.6</v>
      </c>
    </row>
    <row r="136" spans="2:4" x14ac:dyDescent="0.2">
      <c r="B136" s="39" t="s">
        <v>9</v>
      </c>
      <c r="C136" s="39">
        <v>2000</v>
      </c>
      <c r="D136" s="39">
        <v>73</v>
      </c>
    </row>
    <row r="137" spans="2:4" x14ac:dyDescent="0.2">
      <c r="B137" s="39" t="s">
        <v>13</v>
      </c>
      <c r="C137" s="39">
        <v>2000</v>
      </c>
      <c r="D137" s="39">
        <v>28.1</v>
      </c>
    </row>
    <row r="138" spans="2:4" x14ac:dyDescent="0.2">
      <c r="B138" s="39" t="s">
        <v>3</v>
      </c>
      <c r="C138" s="39">
        <v>2000</v>
      </c>
      <c r="D138" s="39">
        <v>36.799999999999997</v>
      </c>
    </row>
    <row r="139" spans="2:4" x14ac:dyDescent="0.2">
      <c r="B139" s="39" t="s">
        <v>2</v>
      </c>
      <c r="C139" s="39">
        <v>2000</v>
      </c>
      <c r="D139" s="39">
        <v>32.700000000000003</v>
      </c>
    </row>
    <row r="140" spans="2:4" x14ac:dyDescent="0.2">
      <c r="B140" s="39" t="s">
        <v>8</v>
      </c>
      <c r="C140" s="39">
        <v>2000</v>
      </c>
      <c r="D140" s="39">
        <v>72.099999999999994</v>
      </c>
    </row>
    <row r="141" spans="2:4" x14ac:dyDescent="0.2">
      <c r="B141" s="39" t="s">
        <v>7</v>
      </c>
      <c r="C141" s="39">
        <v>2000</v>
      </c>
      <c r="D141" s="39">
        <v>72.3</v>
      </c>
    </row>
    <row r="142" spans="2:4" x14ac:dyDescent="0.2">
      <c r="B142" s="39" t="s">
        <v>4</v>
      </c>
      <c r="C142" s="39">
        <v>2000</v>
      </c>
      <c r="D142" s="39">
        <v>48.2</v>
      </c>
    </row>
    <row r="143" spans="2:4" x14ac:dyDescent="0.2">
      <c r="B143" s="39" t="s">
        <v>6</v>
      </c>
      <c r="C143" s="39">
        <v>2000</v>
      </c>
      <c r="D143" s="39">
        <v>64.8</v>
      </c>
    </row>
    <row r="144" spans="2:4" x14ac:dyDescent="0.2">
      <c r="B144" s="39" t="s">
        <v>12</v>
      </c>
      <c r="C144" s="39">
        <v>2000</v>
      </c>
      <c r="D144" s="39">
        <v>42.9</v>
      </c>
    </row>
    <row r="145" spans="2:4" x14ac:dyDescent="0.2">
      <c r="B145" s="39" t="s">
        <v>11</v>
      </c>
      <c r="C145" s="39">
        <v>2000</v>
      </c>
      <c r="D145" s="39">
        <v>57.2</v>
      </c>
    </row>
    <row r="146" spans="2:4" x14ac:dyDescent="0.2">
      <c r="B146" s="39" t="s">
        <v>10</v>
      </c>
      <c r="C146" s="39">
        <v>2000</v>
      </c>
      <c r="D146" s="39">
        <v>65.2</v>
      </c>
    </row>
    <row r="147" spans="2:4" x14ac:dyDescent="0.2">
      <c r="B147" s="39" t="s">
        <v>5</v>
      </c>
      <c r="C147" s="39">
        <v>2001</v>
      </c>
      <c r="D147" s="39">
        <v>55.5</v>
      </c>
    </row>
    <row r="148" spans="2:4" x14ac:dyDescent="0.2">
      <c r="B148" s="39" t="s">
        <v>9</v>
      </c>
      <c r="C148" s="39">
        <v>2001</v>
      </c>
      <c r="D148" s="39">
        <v>64.099999999999994</v>
      </c>
    </row>
    <row r="149" spans="2:4" x14ac:dyDescent="0.2">
      <c r="B149" s="39" t="s">
        <v>3</v>
      </c>
      <c r="C149" s="39">
        <v>2001</v>
      </c>
      <c r="D149" s="39">
        <v>38.5</v>
      </c>
    </row>
    <row r="150" spans="2:4" x14ac:dyDescent="0.2">
      <c r="B150" s="39" t="s">
        <v>2</v>
      </c>
      <c r="C150" s="39">
        <v>2001</v>
      </c>
      <c r="D150" s="39">
        <v>32.299999999999997</v>
      </c>
    </row>
    <row r="151" spans="2:4" x14ac:dyDescent="0.2">
      <c r="B151" s="39" t="s">
        <v>8</v>
      </c>
      <c r="C151" s="39">
        <v>2001</v>
      </c>
      <c r="D151" s="39">
        <v>72.2</v>
      </c>
    </row>
    <row r="152" spans="2:4" x14ac:dyDescent="0.2">
      <c r="B152" s="39" t="s">
        <v>7</v>
      </c>
      <c r="C152" s="39">
        <v>2001</v>
      </c>
      <c r="D152" s="39">
        <v>69</v>
      </c>
    </row>
    <row r="153" spans="2:4" x14ac:dyDescent="0.2">
      <c r="B153" s="39" t="s">
        <v>4</v>
      </c>
      <c r="C153" s="39">
        <v>2001</v>
      </c>
      <c r="D153" s="39">
        <v>36.200000000000003</v>
      </c>
    </row>
    <row r="154" spans="2:4" x14ac:dyDescent="0.2">
      <c r="B154" s="39" t="s">
        <v>6</v>
      </c>
      <c r="C154" s="39">
        <v>2001</v>
      </c>
      <c r="D154" s="39">
        <v>60.8</v>
      </c>
    </row>
    <row r="155" spans="2:4" x14ac:dyDescent="0.2">
      <c r="B155" s="39" t="s">
        <v>10</v>
      </c>
      <c r="C155" s="39">
        <v>2001</v>
      </c>
      <c r="D155" s="39">
        <v>65.3</v>
      </c>
    </row>
  </sheetData>
  <mergeCells count="11">
    <mergeCell ref="C8:Q8"/>
    <mergeCell ref="C9:Q9"/>
    <mergeCell ref="C10:Q10"/>
    <mergeCell ref="C11:Q11"/>
    <mergeCell ref="C12:Q12"/>
    <mergeCell ref="B2:Q2"/>
    <mergeCell ref="C3:Q3"/>
    <mergeCell ref="C4:Q4"/>
    <mergeCell ref="C5:Q5"/>
    <mergeCell ref="C6:Q6"/>
    <mergeCell ref="C7:Q7"/>
  </mergeCells>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T155"/>
  <sheetViews>
    <sheetView showGridLines="0" workbookViewId="0"/>
  </sheetViews>
  <sheetFormatPr defaultRowHeight="12.75" x14ac:dyDescent="0.2"/>
  <cols>
    <col min="1" max="1" width="3.28515625" style="39" customWidth="1"/>
    <col min="2" max="2" width="11.140625" style="39" bestFit="1" customWidth="1"/>
    <col min="3" max="3" width="9.7109375" style="39" bestFit="1" customWidth="1"/>
    <col min="4" max="4" width="17.28515625" style="39" bestFit="1" customWidth="1"/>
    <col min="5" max="5" width="3.28515625" style="39" customWidth="1"/>
    <col min="6" max="6" width="23.5703125" style="39" bestFit="1" customWidth="1"/>
    <col min="7" max="7" width="17" style="39" bestFit="1" customWidth="1"/>
    <col min="8" max="18" width="5.5703125" style="39" bestFit="1" customWidth="1"/>
    <col min="19" max="19" width="11.7109375" style="39" bestFit="1" customWidth="1"/>
    <col min="20" max="16384" width="9.140625" style="39"/>
  </cols>
  <sheetData>
    <row r="1" spans="2:20" s="44" customFormat="1" ht="13.5" thickBot="1" x14ac:dyDescent="0.25"/>
    <row r="2" spans="2:20" s="44" customFormat="1" ht="21" thickBot="1" x14ac:dyDescent="0.25">
      <c r="B2" s="46" t="s">
        <v>142</v>
      </c>
      <c r="C2" s="47"/>
      <c r="D2" s="47"/>
      <c r="E2" s="47"/>
      <c r="F2" s="47"/>
      <c r="G2" s="47"/>
      <c r="H2" s="47"/>
      <c r="I2" s="47"/>
      <c r="J2" s="47"/>
      <c r="K2" s="47"/>
      <c r="L2" s="47"/>
      <c r="M2" s="47"/>
      <c r="N2" s="47"/>
      <c r="O2" s="47"/>
      <c r="P2" s="47"/>
      <c r="Q2" s="47"/>
      <c r="R2" s="47"/>
      <c r="S2" s="47"/>
      <c r="T2" s="48"/>
    </row>
    <row r="3" spans="2:20" s="44" customFormat="1" ht="16.5" thickBot="1" x14ac:dyDescent="0.25">
      <c r="B3" s="55" t="b">
        <v>1</v>
      </c>
      <c r="C3" s="52" t="s">
        <v>40</v>
      </c>
      <c r="D3" s="52"/>
      <c r="E3" s="52"/>
      <c r="F3" s="52"/>
      <c r="G3" s="52"/>
      <c r="H3" s="52"/>
      <c r="I3" s="52"/>
      <c r="J3" s="52"/>
      <c r="K3" s="52"/>
      <c r="L3" s="52"/>
      <c r="M3" s="52"/>
      <c r="N3" s="52"/>
      <c r="O3" s="52"/>
      <c r="P3" s="52"/>
      <c r="Q3" s="52"/>
      <c r="R3" s="52"/>
      <c r="S3" s="52"/>
      <c r="T3" s="61"/>
    </row>
    <row r="4" spans="2:20" s="44" customFormat="1" ht="15" x14ac:dyDescent="0.2">
      <c r="B4" s="56" t="b">
        <v>1</v>
      </c>
      <c r="C4" s="45" t="s">
        <v>165</v>
      </c>
      <c r="D4" s="45"/>
      <c r="E4" s="45"/>
      <c r="F4" s="45"/>
      <c r="G4" s="45"/>
      <c r="H4" s="45"/>
      <c r="I4" s="45"/>
      <c r="J4" s="45"/>
      <c r="K4" s="45"/>
      <c r="L4" s="45"/>
      <c r="M4" s="45"/>
      <c r="N4" s="45"/>
      <c r="O4" s="45"/>
      <c r="P4" s="45"/>
      <c r="Q4" s="45"/>
      <c r="R4" s="45"/>
      <c r="S4" s="45"/>
      <c r="T4" s="49"/>
    </row>
    <row r="5" spans="2:20" s="44" customFormat="1" ht="15" x14ac:dyDescent="0.2">
      <c r="B5" s="56" t="b">
        <v>1</v>
      </c>
      <c r="C5" s="45" t="s">
        <v>166</v>
      </c>
      <c r="D5" s="45"/>
      <c r="E5" s="45"/>
      <c r="F5" s="45"/>
      <c r="G5" s="45"/>
      <c r="H5" s="45"/>
      <c r="I5" s="45"/>
      <c r="J5" s="45"/>
      <c r="K5" s="45"/>
      <c r="L5" s="45"/>
      <c r="M5" s="45"/>
      <c r="N5" s="45"/>
      <c r="O5" s="45"/>
      <c r="P5" s="45"/>
      <c r="Q5" s="45"/>
      <c r="R5" s="45"/>
      <c r="S5" s="45"/>
      <c r="T5" s="49"/>
    </row>
    <row r="6" spans="2:20" s="44" customFormat="1" ht="15.75" thickBot="1" x14ac:dyDescent="0.25">
      <c r="B6" s="56" t="b">
        <v>1</v>
      </c>
      <c r="C6" s="45" t="s">
        <v>164</v>
      </c>
      <c r="D6" s="45"/>
      <c r="E6" s="45"/>
      <c r="F6" s="45"/>
      <c r="G6" s="45"/>
      <c r="H6" s="45"/>
      <c r="I6" s="45"/>
      <c r="J6" s="45"/>
      <c r="K6" s="45"/>
      <c r="L6" s="45"/>
      <c r="M6" s="45"/>
      <c r="N6" s="45"/>
      <c r="O6" s="45"/>
      <c r="P6" s="45"/>
      <c r="Q6" s="45"/>
      <c r="R6" s="45"/>
      <c r="S6" s="45"/>
      <c r="T6" s="49"/>
    </row>
    <row r="7" spans="2:20" s="44" customFormat="1" ht="16.5" thickBot="1" x14ac:dyDescent="0.25">
      <c r="B7" s="55" t="b">
        <v>0</v>
      </c>
      <c r="C7" s="53" t="s">
        <v>32</v>
      </c>
      <c r="D7" s="53"/>
      <c r="E7" s="53"/>
      <c r="F7" s="53"/>
      <c r="G7" s="53"/>
      <c r="H7" s="53"/>
      <c r="I7" s="53"/>
      <c r="J7" s="53"/>
      <c r="K7" s="53"/>
      <c r="L7" s="53"/>
      <c r="M7" s="53"/>
      <c r="N7" s="53"/>
      <c r="O7" s="53"/>
      <c r="P7" s="53"/>
      <c r="Q7" s="53"/>
      <c r="R7" s="53"/>
      <c r="S7" s="53"/>
      <c r="T7" s="54"/>
    </row>
    <row r="8" spans="2:20" s="44" customFormat="1" ht="15" x14ac:dyDescent="0.2">
      <c r="B8" s="56" t="b">
        <v>1</v>
      </c>
      <c r="C8" s="45" t="s">
        <v>167</v>
      </c>
      <c r="D8" s="45"/>
      <c r="E8" s="45"/>
      <c r="F8" s="45"/>
      <c r="G8" s="45"/>
      <c r="H8" s="45"/>
      <c r="I8" s="45"/>
      <c r="J8" s="45"/>
      <c r="K8" s="45"/>
      <c r="L8" s="45"/>
      <c r="M8" s="45"/>
      <c r="N8" s="45"/>
      <c r="O8" s="45"/>
      <c r="P8" s="45"/>
      <c r="Q8" s="45"/>
      <c r="R8" s="45"/>
      <c r="S8" s="45"/>
      <c r="T8" s="49"/>
    </row>
    <row r="9" spans="2:20" s="44" customFormat="1" ht="15" x14ac:dyDescent="0.2">
      <c r="B9" s="56" t="b">
        <v>1</v>
      </c>
      <c r="C9" s="45" t="s">
        <v>168</v>
      </c>
      <c r="D9" s="45"/>
      <c r="E9" s="45"/>
      <c r="F9" s="45"/>
      <c r="G9" s="45"/>
      <c r="H9" s="45"/>
      <c r="I9" s="45"/>
      <c r="J9" s="45"/>
      <c r="K9" s="45"/>
      <c r="L9" s="45"/>
      <c r="M9" s="45"/>
      <c r="N9" s="45"/>
      <c r="O9" s="45"/>
      <c r="P9" s="45"/>
      <c r="Q9" s="45"/>
      <c r="R9" s="45"/>
      <c r="S9" s="45"/>
      <c r="T9" s="49"/>
    </row>
    <row r="10" spans="2:20" s="44" customFormat="1" ht="15" x14ac:dyDescent="0.2">
      <c r="B10" s="56" t="b">
        <v>1</v>
      </c>
      <c r="C10" s="45" t="s">
        <v>169</v>
      </c>
      <c r="D10" s="45"/>
      <c r="E10" s="45"/>
      <c r="F10" s="45"/>
      <c r="G10" s="45"/>
      <c r="H10" s="45"/>
      <c r="I10" s="45"/>
      <c r="J10" s="45"/>
      <c r="K10" s="45"/>
      <c r="L10" s="45"/>
      <c r="M10" s="45"/>
      <c r="N10" s="45"/>
      <c r="O10" s="45"/>
      <c r="P10" s="45"/>
      <c r="Q10" s="45"/>
      <c r="R10" s="45"/>
      <c r="S10" s="45"/>
      <c r="T10" s="49"/>
    </row>
    <row r="11" spans="2:20" s="44" customFormat="1" ht="15" x14ac:dyDescent="0.2">
      <c r="B11" s="56" t="b">
        <v>1</v>
      </c>
      <c r="C11" s="45" t="s">
        <v>170</v>
      </c>
      <c r="D11" s="45"/>
      <c r="E11" s="45"/>
      <c r="F11" s="45"/>
      <c r="G11" s="45"/>
      <c r="H11" s="45"/>
      <c r="I11" s="45"/>
      <c r="J11" s="45"/>
      <c r="K11" s="45"/>
      <c r="L11" s="45"/>
      <c r="M11" s="45"/>
      <c r="N11" s="45"/>
      <c r="O11" s="45"/>
      <c r="P11" s="45"/>
      <c r="Q11" s="45"/>
      <c r="R11" s="45"/>
      <c r="S11" s="45"/>
      <c r="T11" s="49"/>
    </row>
    <row r="12" spans="2:20" s="44" customFormat="1" ht="15.75" thickBot="1" x14ac:dyDescent="0.25">
      <c r="B12" s="57" t="b">
        <v>0</v>
      </c>
      <c r="C12" s="50" t="s">
        <v>171</v>
      </c>
      <c r="D12" s="50"/>
      <c r="E12" s="50"/>
      <c r="F12" s="50"/>
      <c r="G12" s="50"/>
      <c r="H12" s="50"/>
      <c r="I12" s="50"/>
      <c r="J12" s="50"/>
      <c r="K12" s="50"/>
      <c r="L12" s="50"/>
      <c r="M12" s="50"/>
      <c r="N12" s="50"/>
      <c r="O12" s="50"/>
      <c r="P12" s="50"/>
      <c r="Q12" s="50"/>
      <c r="R12" s="50"/>
      <c r="S12" s="50"/>
      <c r="T12" s="51"/>
    </row>
    <row r="14" spans="2:20" x14ac:dyDescent="0.2">
      <c r="B14" s="39" t="s">
        <v>14</v>
      </c>
      <c r="C14" s="39" t="s">
        <v>0</v>
      </c>
      <c r="D14" s="39" t="s">
        <v>1</v>
      </c>
      <c r="F14" s="40" t="s">
        <v>138</v>
      </c>
      <c r="G14" s="40" t="s">
        <v>172</v>
      </c>
      <c r="H14"/>
      <c r="I14"/>
      <c r="J14"/>
      <c r="K14"/>
      <c r="L14"/>
      <c r="M14"/>
      <c r="N14"/>
      <c r="O14"/>
      <c r="P14"/>
      <c r="Q14"/>
      <c r="R14"/>
      <c r="S14"/>
    </row>
    <row r="15" spans="2:20" x14ac:dyDescent="0.2">
      <c r="B15" s="39" t="s">
        <v>5</v>
      </c>
      <c r="C15" s="39">
        <v>1990</v>
      </c>
      <c r="D15" s="39">
        <v>54.3</v>
      </c>
      <c r="F15" s="40" t="s">
        <v>136</v>
      </c>
      <c r="G15">
        <v>1990</v>
      </c>
      <c r="H15">
        <v>1991</v>
      </c>
      <c r="I15">
        <v>1992</v>
      </c>
      <c r="J15">
        <v>1993</v>
      </c>
      <c r="K15">
        <v>1994</v>
      </c>
      <c r="L15">
        <v>1995</v>
      </c>
      <c r="M15">
        <v>1996</v>
      </c>
      <c r="N15">
        <v>1997</v>
      </c>
      <c r="O15">
        <v>1998</v>
      </c>
      <c r="P15">
        <v>1999</v>
      </c>
      <c r="Q15">
        <v>2000</v>
      </c>
      <c r="R15">
        <v>2001</v>
      </c>
      <c r="S15" t="s">
        <v>137</v>
      </c>
    </row>
    <row r="16" spans="2:20" x14ac:dyDescent="0.2">
      <c r="B16" s="39" t="s">
        <v>5</v>
      </c>
      <c r="C16" s="39">
        <v>1991</v>
      </c>
      <c r="D16" s="39">
        <v>56</v>
      </c>
      <c r="F16" s="26" t="s">
        <v>2</v>
      </c>
      <c r="G16" s="33">
        <v>40.799999999999997</v>
      </c>
      <c r="H16" s="33">
        <v>34</v>
      </c>
      <c r="I16" s="33">
        <v>35</v>
      </c>
      <c r="J16" s="33">
        <v>36.799999999999997</v>
      </c>
      <c r="K16" s="33">
        <v>26.1</v>
      </c>
      <c r="L16" s="33">
        <v>37.200000000000003</v>
      </c>
      <c r="M16" s="33">
        <v>30</v>
      </c>
      <c r="N16" s="33">
        <v>32.5</v>
      </c>
      <c r="O16" s="33">
        <v>40.1</v>
      </c>
      <c r="P16" s="33">
        <v>34.9</v>
      </c>
      <c r="Q16" s="33">
        <v>32.700000000000003</v>
      </c>
      <c r="R16" s="33">
        <v>32.299999999999997</v>
      </c>
      <c r="S16" s="33">
        <v>34.366666666666667</v>
      </c>
    </row>
    <row r="17" spans="2:19" x14ac:dyDescent="0.2">
      <c r="B17" s="39" t="s">
        <v>5</v>
      </c>
      <c r="C17" s="39">
        <v>1992</v>
      </c>
      <c r="D17" s="39">
        <v>53.1</v>
      </c>
      <c r="F17" s="26" t="s">
        <v>3</v>
      </c>
      <c r="G17" s="33">
        <v>42.2</v>
      </c>
      <c r="H17" s="33">
        <v>39.5</v>
      </c>
      <c r="I17" s="33">
        <v>38</v>
      </c>
      <c r="J17" s="33">
        <v>31.7</v>
      </c>
      <c r="K17" s="33">
        <v>33.299999999999997</v>
      </c>
      <c r="L17" s="33">
        <v>31.3</v>
      </c>
      <c r="M17" s="33">
        <v>34.700000000000003</v>
      </c>
      <c r="N17" s="33">
        <v>40.5</v>
      </c>
      <c r="O17" s="33">
        <v>41</v>
      </c>
      <c r="P17" s="33">
        <v>37.5</v>
      </c>
      <c r="Q17" s="33">
        <v>36.799999999999997</v>
      </c>
      <c r="R17" s="33">
        <v>38.5</v>
      </c>
      <c r="S17" s="33">
        <v>37.083333333333336</v>
      </c>
    </row>
    <row r="18" spans="2:19" x14ac:dyDescent="0.2">
      <c r="B18" s="39" t="s">
        <v>5</v>
      </c>
      <c r="C18" s="39">
        <v>1993</v>
      </c>
      <c r="D18" s="39">
        <v>52.6</v>
      </c>
      <c r="F18" s="26" t="s">
        <v>4</v>
      </c>
      <c r="G18" s="33">
        <v>48.1</v>
      </c>
      <c r="H18" s="33">
        <v>46.1</v>
      </c>
      <c r="I18" s="33">
        <v>41.9</v>
      </c>
      <c r="J18" s="33">
        <v>39.299999999999997</v>
      </c>
      <c r="K18" s="33">
        <v>42.7</v>
      </c>
      <c r="L18" s="33">
        <v>46.1</v>
      </c>
      <c r="M18" s="33">
        <v>39.700000000000003</v>
      </c>
      <c r="N18" s="33">
        <v>44.6</v>
      </c>
      <c r="O18" s="33">
        <v>45.5</v>
      </c>
      <c r="P18" s="33">
        <v>41.4</v>
      </c>
      <c r="Q18" s="33">
        <v>48.2</v>
      </c>
      <c r="R18" s="33">
        <v>36.200000000000003</v>
      </c>
      <c r="S18" s="33">
        <v>43.316666666666663</v>
      </c>
    </row>
    <row r="19" spans="2:19" x14ac:dyDescent="0.2">
      <c r="B19" s="39" t="s">
        <v>5</v>
      </c>
      <c r="C19" s="39">
        <v>1994</v>
      </c>
      <c r="D19" s="39">
        <v>60.1</v>
      </c>
      <c r="F19" s="26" t="s">
        <v>5</v>
      </c>
      <c r="G19" s="33">
        <v>54.3</v>
      </c>
      <c r="H19" s="33">
        <v>56</v>
      </c>
      <c r="I19" s="33">
        <v>53.1</v>
      </c>
      <c r="J19" s="33">
        <v>52.6</v>
      </c>
      <c r="K19" s="33">
        <v>60.1</v>
      </c>
      <c r="L19" s="33">
        <v>52.6</v>
      </c>
      <c r="M19" s="33">
        <v>54.6</v>
      </c>
      <c r="N19" s="33">
        <v>50.3</v>
      </c>
      <c r="O19" s="33">
        <v>54.9</v>
      </c>
      <c r="P19" s="33">
        <v>53</v>
      </c>
      <c r="Q19" s="33">
        <v>53.6</v>
      </c>
      <c r="R19" s="33">
        <v>55.5</v>
      </c>
      <c r="S19" s="33">
        <v>54.216666666666669</v>
      </c>
    </row>
    <row r="20" spans="2:19" x14ac:dyDescent="0.2">
      <c r="B20" s="39" t="s">
        <v>5</v>
      </c>
      <c r="C20" s="39">
        <v>1995</v>
      </c>
      <c r="D20" s="39">
        <v>52.6</v>
      </c>
      <c r="F20" s="26" t="s">
        <v>6</v>
      </c>
      <c r="G20" s="33">
        <v>61.6</v>
      </c>
      <c r="H20" s="33">
        <v>69.3</v>
      </c>
      <c r="I20" s="33">
        <v>59.7</v>
      </c>
      <c r="J20" s="33">
        <v>64.5</v>
      </c>
      <c r="K20" s="33">
        <v>59.9</v>
      </c>
      <c r="L20" s="33">
        <v>62.7</v>
      </c>
      <c r="M20" s="33">
        <v>59.7</v>
      </c>
      <c r="N20" s="33">
        <v>58.8</v>
      </c>
      <c r="O20" s="33">
        <v>66</v>
      </c>
      <c r="P20" s="33">
        <v>62.8</v>
      </c>
      <c r="Q20" s="33">
        <v>64.8</v>
      </c>
      <c r="R20" s="33">
        <v>60.8</v>
      </c>
      <c r="S20" s="33">
        <v>62.54999999999999</v>
      </c>
    </row>
    <row r="21" spans="2:19" x14ac:dyDescent="0.2">
      <c r="B21" s="39" t="s">
        <v>5</v>
      </c>
      <c r="C21" s="39">
        <v>1996</v>
      </c>
      <c r="D21" s="39">
        <v>54.6</v>
      </c>
      <c r="F21" s="26" t="s">
        <v>7</v>
      </c>
      <c r="G21" s="33">
        <v>72</v>
      </c>
      <c r="H21" s="33">
        <v>72.3</v>
      </c>
      <c r="I21" s="33">
        <v>68.599999999999994</v>
      </c>
      <c r="J21" s="33">
        <v>72</v>
      </c>
      <c r="K21" s="33">
        <v>76.099999999999994</v>
      </c>
      <c r="L21" s="33">
        <v>71.5</v>
      </c>
      <c r="M21" s="33">
        <v>72.8</v>
      </c>
      <c r="N21" s="33">
        <v>69.099999999999994</v>
      </c>
      <c r="O21" s="33">
        <v>70.400000000000006</v>
      </c>
      <c r="P21" s="33">
        <v>70.8</v>
      </c>
      <c r="Q21" s="33">
        <v>72.3</v>
      </c>
      <c r="R21" s="33">
        <v>69</v>
      </c>
      <c r="S21" s="33">
        <v>71.408333333333317</v>
      </c>
    </row>
    <row r="22" spans="2:19" x14ac:dyDescent="0.2">
      <c r="B22" s="39" t="s">
        <v>5</v>
      </c>
      <c r="C22" s="39">
        <v>1997</v>
      </c>
      <c r="D22" s="39">
        <v>50.3</v>
      </c>
      <c r="F22" s="26" t="s">
        <v>8</v>
      </c>
      <c r="G22" s="33">
        <v>76.900000000000006</v>
      </c>
      <c r="H22" s="33">
        <v>77.900000000000006</v>
      </c>
      <c r="I22" s="33">
        <v>75.900000000000006</v>
      </c>
      <c r="J22" s="33">
        <v>79.7</v>
      </c>
      <c r="K22" s="33">
        <v>79.5</v>
      </c>
      <c r="L22" s="33">
        <v>78.2</v>
      </c>
      <c r="M22" s="33">
        <v>72.900000000000006</v>
      </c>
      <c r="N22" s="33">
        <v>75.8</v>
      </c>
      <c r="O22" s="33">
        <v>75.3</v>
      </c>
      <c r="P22" s="33">
        <v>78.5</v>
      </c>
      <c r="Q22" s="33">
        <v>72.099999999999994</v>
      </c>
      <c r="R22" s="33">
        <v>72.2</v>
      </c>
      <c r="S22" s="33">
        <v>76.24166666666666</v>
      </c>
    </row>
    <row r="23" spans="2:19" x14ac:dyDescent="0.2">
      <c r="B23" s="39" t="s">
        <v>5</v>
      </c>
      <c r="C23" s="39">
        <v>1998</v>
      </c>
      <c r="D23" s="39">
        <v>54.9</v>
      </c>
      <c r="F23" s="26" t="s">
        <v>9</v>
      </c>
      <c r="G23" s="33">
        <v>73.8</v>
      </c>
      <c r="H23" s="33">
        <v>77</v>
      </c>
      <c r="I23" s="33">
        <v>70.400000000000006</v>
      </c>
      <c r="J23" s="33">
        <v>78</v>
      </c>
      <c r="K23" s="33">
        <v>73.8</v>
      </c>
      <c r="L23" s="33">
        <v>77.599999999999994</v>
      </c>
      <c r="M23" s="33">
        <v>72.7</v>
      </c>
      <c r="N23" s="33">
        <v>73.3</v>
      </c>
      <c r="O23" s="33">
        <v>76.2</v>
      </c>
      <c r="P23" s="33">
        <v>75.400000000000006</v>
      </c>
      <c r="Q23" s="33">
        <v>73</v>
      </c>
      <c r="R23" s="33">
        <v>64.099999999999994</v>
      </c>
      <c r="S23" s="33">
        <v>73.775000000000006</v>
      </c>
    </row>
    <row r="24" spans="2:19" x14ac:dyDescent="0.2">
      <c r="B24" s="39" t="s">
        <v>5</v>
      </c>
      <c r="C24" s="39">
        <v>1999</v>
      </c>
      <c r="D24" s="39">
        <v>53</v>
      </c>
      <c r="F24" s="26" t="s">
        <v>10</v>
      </c>
      <c r="G24" s="33">
        <v>66.099999999999994</v>
      </c>
      <c r="H24" s="33">
        <v>67.599999999999994</v>
      </c>
      <c r="I24" s="33">
        <v>66</v>
      </c>
      <c r="J24" s="33">
        <v>68.7</v>
      </c>
      <c r="K24" s="33">
        <v>66.7</v>
      </c>
      <c r="L24" s="33">
        <v>67.099999999999994</v>
      </c>
      <c r="M24" s="33">
        <v>67.099999999999994</v>
      </c>
      <c r="N24" s="33">
        <v>65.099999999999994</v>
      </c>
      <c r="O24" s="33">
        <v>72.7</v>
      </c>
      <c r="P24" s="33">
        <v>67</v>
      </c>
      <c r="Q24" s="33">
        <v>65.2</v>
      </c>
      <c r="R24" s="33">
        <v>65.3</v>
      </c>
      <c r="S24" s="33">
        <v>67.05</v>
      </c>
    </row>
    <row r="25" spans="2:19" x14ac:dyDescent="0.2">
      <c r="B25" s="39" t="s">
        <v>5</v>
      </c>
      <c r="C25" s="39">
        <v>2000</v>
      </c>
      <c r="D25" s="39">
        <v>53.6</v>
      </c>
      <c r="F25" s="26" t="s">
        <v>11</v>
      </c>
      <c r="G25" s="33">
        <v>58.7</v>
      </c>
      <c r="H25" s="33">
        <v>56.6</v>
      </c>
      <c r="I25" s="33">
        <v>52.2</v>
      </c>
      <c r="J25" s="33">
        <v>54.2</v>
      </c>
      <c r="K25" s="33">
        <v>53.9</v>
      </c>
      <c r="L25" s="33">
        <v>58.3</v>
      </c>
      <c r="M25" s="33">
        <v>55.7</v>
      </c>
      <c r="N25" s="33">
        <v>53.7</v>
      </c>
      <c r="O25" s="33">
        <v>56.2</v>
      </c>
      <c r="P25" s="33">
        <v>53.1</v>
      </c>
      <c r="Q25" s="33">
        <v>57.2</v>
      </c>
      <c r="R25" s="33"/>
      <c r="S25" s="33">
        <v>55.43636363636363</v>
      </c>
    </row>
    <row r="26" spans="2:19" x14ac:dyDescent="0.2">
      <c r="B26" s="39" t="s">
        <v>5</v>
      </c>
      <c r="C26" s="39">
        <v>2001</v>
      </c>
      <c r="D26" s="39">
        <v>55.5</v>
      </c>
      <c r="F26" s="26" t="s">
        <v>12</v>
      </c>
      <c r="G26" s="33">
        <v>48.6</v>
      </c>
      <c r="H26" s="33">
        <v>45.7</v>
      </c>
      <c r="I26" s="33">
        <v>45.7</v>
      </c>
      <c r="J26" s="33">
        <v>45.3</v>
      </c>
      <c r="K26" s="33">
        <v>49.1</v>
      </c>
      <c r="L26" s="33">
        <v>39.700000000000003</v>
      </c>
      <c r="M26" s="33">
        <v>39.299999999999997</v>
      </c>
      <c r="N26" s="33">
        <v>43.6</v>
      </c>
      <c r="O26" s="33">
        <v>45.6</v>
      </c>
      <c r="P26" s="33">
        <v>50.1</v>
      </c>
      <c r="Q26" s="33">
        <v>42.9</v>
      </c>
      <c r="R26" s="33"/>
      <c r="S26" s="33">
        <v>45.054545454545462</v>
      </c>
    </row>
    <row r="27" spans="2:19" x14ac:dyDescent="0.2">
      <c r="B27" s="39" t="s">
        <v>9</v>
      </c>
      <c r="C27" s="39">
        <v>1990</v>
      </c>
      <c r="D27" s="39">
        <v>73.8</v>
      </c>
      <c r="F27" s="26" t="s">
        <v>13</v>
      </c>
      <c r="G27" s="33">
        <v>41.3</v>
      </c>
      <c r="H27" s="33">
        <v>38.5</v>
      </c>
      <c r="I27" s="33">
        <v>36.799999999999997</v>
      </c>
      <c r="J27" s="33">
        <v>34</v>
      </c>
      <c r="K27" s="33">
        <v>40.299999999999997</v>
      </c>
      <c r="L27" s="33">
        <v>33</v>
      </c>
      <c r="M27" s="33">
        <v>38.299999999999997</v>
      </c>
      <c r="N27" s="33">
        <v>37.200000000000003</v>
      </c>
      <c r="O27" s="33">
        <v>40.9</v>
      </c>
      <c r="P27" s="33">
        <v>38.200000000000003</v>
      </c>
      <c r="Q27" s="33">
        <v>28.1</v>
      </c>
      <c r="R27" s="33"/>
      <c r="S27" s="33">
        <v>36.963636363636361</v>
      </c>
    </row>
    <row r="28" spans="2:19" x14ac:dyDescent="0.2">
      <c r="B28" s="39" t="s">
        <v>9</v>
      </c>
      <c r="C28" s="39">
        <v>1991</v>
      </c>
      <c r="D28" s="39">
        <v>77</v>
      </c>
      <c r="F28" s="26" t="s">
        <v>137</v>
      </c>
      <c r="G28" s="33">
        <v>57.033333333333331</v>
      </c>
      <c r="H28" s="33">
        <v>56.708333333333343</v>
      </c>
      <c r="I28" s="33">
        <v>53.608333333333327</v>
      </c>
      <c r="J28" s="33">
        <v>54.733333333333327</v>
      </c>
      <c r="K28" s="33">
        <v>55.125</v>
      </c>
      <c r="L28" s="33">
        <v>54.608333333333327</v>
      </c>
      <c r="M28" s="33">
        <v>53.124999999999993</v>
      </c>
      <c r="N28" s="33">
        <v>53.708333333333343</v>
      </c>
      <c r="O28" s="33">
        <v>57.06666666666667</v>
      </c>
      <c r="P28" s="33">
        <v>55.225000000000016</v>
      </c>
      <c r="Q28" s="33">
        <v>53.908333333333339</v>
      </c>
      <c r="R28" s="33">
        <v>54.87777777777778</v>
      </c>
      <c r="S28" s="33">
        <v>54.979432624113478</v>
      </c>
    </row>
    <row r="29" spans="2:19" x14ac:dyDescent="0.2">
      <c r="B29" s="39" t="s">
        <v>9</v>
      </c>
      <c r="C29" s="39">
        <v>1992</v>
      </c>
      <c r="D29" s="39">
        <v>70.400000000000006</v>
      </c>
      <c r="F29"/>
      <c r="G29"/>
      <c r="H29"/>
    </row>
    <row r="30" spans="2:19" x14ac:dyDescent="0.2">
      <c r="B30" s="39" t="s">
        <v>9</v>
      </c>
      <c r="C30" s="39">
        <v>1993</v>
      </c>
      <c r="D30" s="39">
        <v>78</v>
      </c>
      <c r="F30" s="40" t="s">
        <v>173</v>
      </c>
      <c r="G30" s="40" t="s">
        <v>172</v>
      </c>
      <c r="H30"/>
      <c r="I30"/>
      <c r="J30"/>
      <c r="K30"/>
      <c r="L30"/>
      <c r="M30"/>
      <c r="N30"/>
      <c r="O30"/>
      <c r="P30"/>
      <c r="Q30"/>
      <c r="R30"/>
      <c r="S30"/>
    </row>
    <row r="31" spans="2:19" x14ac:dyDescent="0.2">
      <c r="B31" s="39" t="s">
        <v>9</v>
      </c>
      <c r="C31" s="39">
        <v>1994</v>
      </c>
      <c r="D31" s="39">
        <v>73.8</v>
      </c>
      <c r="F31" s="40" t="s">
        <v>136</v>
      </c>
      <c r="G31">
        <v>1990</v>
      </c>
      <c r="H31">
        <v>1991</v>
      </c>
      <c r="I31">
        <v>1992</v>
      </c>
      <c r="J31">
        <v>1993</v>
      </c>
      <c r="K31">
        <v>1994</v>
      </c>
      <c r="L31">
        <v>1995</v>
      </c>
      <c r="M31">
        <v>1996</v>
      </c>
      <c r="N31">
        <v>1997</v>
      </c>
      <c r="O31">
        <v>1998</v>
      </c>
      <c r="P31">
        <v>1999</v>
      </c>
      <c r="Q31">
        <v>2000</v>
      </c>
      <c r="R31">
        <v>2001</v>
      </c>
      <c r="S31" t="s">
        <v>137</v>
      </c>
    </row>
    <row r="32" spans="2:19" x14ac:dyDescent="0.2">
      <c r="B32" s="39" t="s">
        <v>9</v>
      </c>
      <c r="C32" s="39">
        <v>1995</v>
      </c>
      <c r="D32" s="39">
        <v>77.599999999999994</v>
      </c>
      <c r="F32" s="26" t="s">
        <v>2</v>
      </c>
      <c r="G32" s="41">
        <v>40.799999999999997</v>
      </c>
      <c r="H32" s="41">
        <v>34</v>
      </c>
      <c r="I32" s="41">
        <v>35</v>
      </c>
      <c r="J32" s="41">
        <v>36.799999999999997</v>
      </c>
      <c r="K32" s="41">
        <v>26.1</v>
      </c>
      <c r="L32" s="41">
        <v>37.200000000000003</v>
      </c>
      <c r="M32" s="41">
        <v>30</v>
      </c>
      <c r="N32" s="41">
        <v>32.5</v>
      </c>
      <c r="O32" s="41">
        <v>40.1</v>
      </c>
      <c r="P32" s="41">
        <v>34.9</v>
      </c>
      <c r="Q32" s="41">
        <v>32.700000000000003</v>
      </c>
      <c r="R32" s="41">
        <v>32.299999999999997</v>
      </c>
      <c r="S32" s="41">
        <v>40.799999999999997</v>
      </c>
    </row>
    <row r="33" spans="2:19" x14ac:dyDescent="0.2">
      <c r="B33" s="39" t="s">
        <v>9</v>
      </c>
      <c r="C33" s="39">
        <v>1996</v>
      </c>
      <c r="D33" s="39">
        <v>72.7</v>
      </c>
      <c r="F33" s="26" t="s">
        <v>3</v>
      </c>
      <c r="G33" s="41">
        <v>42.2</v>
      </c>
      <c r="H33" s="41">
        <v>39.5</v>
      </c>
      <c r="I33" s="41">
        <v>38</v>
      </c>
      <c r="J33" s="41">
        <v>31.7</v>
      </c>
      <c r="K33" s="41">
        <v>33.299999999999997</v>
      </c>
      <c r="L33" s="41">
        <v>31.3</v>
      </c>
      <c r="M33" s="41">
        <v>34.700000000000003</v>
      </c>
      <c r="N33" s="41">
        <v>40.5</v>
      </c>
      <c r="O33" s="41">
        <v>41</v>
      </c>
      <c r="P33" s="41">
        <v>37.5</v>
      </c>
      <c r="Q33" s="41">
        <v>36.799999999999997</v>
      </c>
      <c r="R33" s="41">
        <v>38.5</v>
      </c>
      <c r="S33" s="41">
        <v>42.2</v>
      </c>
    </row>
    <row r="34" spans="2:19" x14ac:dyDescent="0.2">
      <c r="B34" s="39" t="s">
        <v>9</v>
      </c>
      <c r="C34" s="39">
        <v>1997</v>
      </c>
      <c r="D34" s="39">
        <v>73.3</v>
      </c>
      <c r="F34" s="26" t="s">
        <v>4</v>
      </c>
      <c r="G34" s="41">
        <v>48.1</v>
      </c>
      <c r="H34" s="41">
        <v>46.1</v>
      </c>
      <c r="I34" s="41">
        <v>41.9</v>
      </c>
      <c r="J34" s="41">
        <v>39.299999999999997</v>
      </c>
      <c r="K34" s="41">
        <v>42.7</v>
      </c>
      <c r="L34" s="41">
        <v>46.1</v>
      </c>
      <c r="M34" s="41">
        <v>39.700000000000003</v>
      </c>
      <c r="N34" s="41">
        <v>44.6</v>
      </c>
      <c r="O34" s="41">
        <v>45.5</v>
      </c>
      <c r="P34" s="41">
        <v>41.4</v>
      </c>
      <c r="Q34" s="41">
        <v>48.2</v>
      </c>
      <c r="R34" s="41">
        <v>36.200000000000003</v>
      </c>
      <c r="S34" s="41">
        <v>48.2</v>
      </c>
    </row>
    <row r="35" spans="2:19" x14ac:dyDescent="0.2">
      <c r="B35" s="39" t="s">
        <v>9</v>
      </c>
      <c r="C35" s="39">
        <v>1998</v>
      </c>
      <c r="D35" s="39">
        <v>76.2</v>
      </c>
      <c r="F35" s="26" t="s">
        <v>5</v>
      </c>
      <c r="G35" s="41">
        <v>54.3</v>
      </c>
      <c r="H35" s="41">
        <v>56</v>
      </c>
      <c r="I35" s="41">
        <v>53.1</v>
      </c>
      <c r="J35" s="41">
        <v>52.6</v>
      </c>
      <c r="K35" s="41">
        <v>60.1</v>
      </c>
      <c r="L35" s="41">
        <v>52.6</v>
      </c>
      <c r="M35" s="41">
        <v>54.6</v>
      </c>
      <c r="N35" s="41">
        <v>50.3</v>
      </c>
      <c r="O35" s="41">
        <v>54.9</v>
      </c>
      <c r="P35" s="41">
        <v>53</v>
      </c>
      <c r="Q35" s="41">
        <v>53.6</v>
      </c>
      <c r="R35" s="41">
        <v>55.5</v>
      </c>
      <c r="S35" s="41">
        <v>60.1</v>
      </c>
    </row>
    <row r="36" spans="2:19" x14ac:dyDescent="0.2">
      <c r="B36" s="39" t="s">
        <v>9</v>
      </c>
      <c r="C36" s="39">
        <v>1999</v>
      </c>
      <c r="D36" s="39">
        <v>75.400000000000006</v>
      </c>
      <c r="F36" s="26" t="s">
        <v>6</v>
      </c>
      <c r="G36" s="41">
        <v>61.6</v>
      </c>
      <c r="H36" s="41">
        <v>69.3</v>
      </c>
      <c r="I36" s="41">
        <v>59.7</v>
      </c>
      <c r="J36" s="41">
        <v>64.5</v>
      </c>
      <c r="K36" s="41">
        <v>59.9</v>
      </c>
      <c r="L36" s="41">
        <v>62.7</v>
      </c>
      <c r="M36" s="41">
        <v>59.7</v>
      </c>
      <c r="N36" s="41">
        <v>58.8</v>
      </c>
      <c r="O36" s="41">
        <v>66</v>
      </c>
      <c r="P36" s="41">
        <v>62.8</v>
      </c>
      <c r="Q36" s="41">
        <v>64.8</v>
      </c>
      <c r="R36" s="41">
        <v>60.8</v>
      </c>
      <c r="S36" s="41">
        <v>69.3</v>
      </c>
    </row>
    <row r="37" spans="2:19" x14ac:dyDescent="0.2">
      <c r="B37" s="39" t="s">
        <v>9</v>
      </c>
      <c r="C37" s="39">
        <v>2000</v>
      </c>
      <c r="D37" s="39">
        <v>73</v>
      </c>
      <c r="F37" s="26" t="s">
        <v>7</v>
      </c>
      <c r="G37" s="41">
        <v>72</v>
      </c>
      <c r="H37" s="41">
        <v>72.3</v>
      </c>
      <c r="I37" s="41">
        <v>68.599999999999994</v>
      </c>
      <c r="J37" s="41">
        <v>72</v>
      </c>
      <c r="K37" s="41">
        <v>76.099999999999994</v>
      </c>
      <c r="L37" s="41">
        <v>71.5</v>
      </c>
      <c r="M37" s="41">
        <v>72.8</v>
      </c>
      <c r="N37" s="41">
        <v>69.099999999999994</v>
      </c>
      <c r="O37" s="41">
        <v>70.400000000000006</v>
      </c>
      <c r="P37" s="41">
        <v>70.8</v>
      </c>
      <c r="Q37" s="41">
        <v>72.3</v>
      </c>
      <c r="R37" s="41">
        <v>69</v>
      </c>
      <c r="S37" s="41">
        <v>76.099999999999994</v>
      </c>
    </row>
    <row r="38" spans="2:19" x14ac:dyDescent="0.2">
      <c r="B38" s="39" t="s">
        <v>9</v>
      </c>
      <c r="C38" s="39">
        <v>2001</v>
      </c>
      <c r="D38" s="39">
        <v>64.099999999999994</v>
      </c>
      <c r="F38" s="26" t="s">
        <v>8</v>
      </c>
      <c r="G38" s="41">
        <v>76.900000000000006</v>
      </c>
      <c r="H38" s="41">
        <v>77.900000000000006</v>
      </c>
      <c r="I38" s="41">
        <v>75.900000000000006</v>
      </c>
      <c r="J38" s="41">
        <v>79.7</v>
      </c>
      <c r="K38" s="41">
        <v>79.5</v>
      </c>
      <c r="L38" s="41">
        <v>78.2</v>
      </c>
      <c r="M38" s="41">
        <v>72.900000000000006</v>
      </c>
      <c r="N38" s="41">
        <v>75.8</v>
      </c>
      <c r="O38" s="41">
        <v>75.3</v>
      </c>
      <c r="P38" s="41">
        <v>78.5</v>
      </c>
      <c r="Q38" s="41">
        <v>72.099999999999994</v>
      </c>
      <c r="R38" s="41">
        <v>72.2</v>
      </c>
      <c r="S38" s="41">
        <v>79.7</v>
      </c>
    </row>
    <row r="39" spans="2:19" x14ac:dyDescent="0.2">
      <c r="B39" s="39" t="s">
        <v>13</v>
      </c>
      <c r="C39" s="39">
        <v>1990</v>
      </c>
      <c r="D39" s="39">
        <v>41.3</v>
      </c>
      <c r="F39" s="26" t="s">
        <v>9</v>
      </c>
      <c r="G39" s="41">
        <v>73.8</v>
      </c>
      <c r="H39" s="41">
        <v>77</v>
      </c>
      <c r="I39" s="41">
        <v>70.400000000000006</v>
      </c>
      <c r="J39" s="41">
        <v>78</v>
      </c>
      <c r="K39" s="41">
        <v>73.8</v>
      </c>
      <c r="L39" s="41">
        <v>77.599999999999994</v>
      </c>
      <c r="M39" s="41">
        <v>72.7</v>
      </c>
      <c r="N39" s="41">
        <v>73.3</v>
      </c>
      <c r="O39" s="41">
        <v>76.2</v>
      </c>
      <c r="P39" s="41">
        <v>75.400000000000006</v>
      </c>
      <c r="Q39" s="41">
        <v>73</v>
      </c>
      <c r="R39" s="41">
        <v>64.099999999999994</v>
      </c>
      <c r="S39" s="41">
        <v>78</v>
      </c>
    </row>
    <row r="40" spans="2:19" x14ac:dyDescent="0.2">
      <c r="B40" s="39" t="s">
        <v>13</v>
      </c>
      <c r="C40" s="39">
        <v>1991</v>
      </c>
      <c r="D40" s="39">
        <v>38.5</v>
      </c>
      <c r="F40" s="26" t="s">
        <v>10</v>
      </c>
      <c r="G40" s="41">
        <v>66.099999999999994</v>
      </c>
      <c r="H40" s="41">
        <v>67.599999999999994</v>
      </c>
      <c r="I40" s="41">
        <v>66</v>
      </c>
      <c r="J40" s="41">
        <v>68.7</v>
      </c>
      <c r="K40" s="41">
        <v>66.7</v>
      </c>
      <c r="L40" s="41">
        <v>67.099999999999994</v>
      </c>
      <c r="M40" s="41">
        <v>67.099999999999994</v>
      </c>
      <c r="N40" s="41">
        <v>65.099999999999994</v>
      </c>
      <c r="O40" s="41">
        <v>72.7</v>
      </c>
      <c r="P40" s="41">
        <v>67</v>
      </c>
      <c r="Q40" s="41">
        <v>65.2</v>
      </c>
      <c r="R40" s="41">
        <v>65.3</v>
      </c>
      <c r="S40" s="41">
        <v>72.7</v>
      </c>
    </row>
    <row r="41" spans="2:19" x14ac:dyDescent="0.2">
      <c r="B41" s="39" t="s">
        <v>13</v>
      </c>
      <c r="C41" s="39">
        <v>1992</v>
      </c>
      <c r="D41" s="39">
        <v>36.799999999999997</v>
      </c>
      <c r="F41" s="26" t="s">
        <v>11</v>
      </c>
      <c r="G41" s="41">
        <v>58.7</v>
      </c>
      <c r="H41" s="41">
        <v>56.6</v>
      </c>
      <c r="I41" s="41">
        <v>52.2</v>
      </c>
      <c r="J41" s="41">
        <v>54.2</v>
      </c>
      <c r="K41" s="41">
        <v>53.9</v>
      </c>
      <c r="L41" s="41">
        <v>58.3</v>
      </c>
      <c r="M41" s="41">
        <v>55.7</v>
      </c>
      <c r="N41" s="41">
        <v>53.7</v>
      </c>
      <c r="O41" s="41">
        <v>56.2</v>
      </c>
      <c r="P41" s="41">
        <v>53.1</v>
      </c>
      <c r="Q41" s="41">
        <v>57.2</v>
      </c>
      <c r="R41" s="41"/>
      <c r="S41" s="41">
        <v>58.7</v>
      </c>
    </row>
    <row r="42" spans="2:19" x14ac:dyDescent="0.2">
      <c r="B42" s="39" t="s">
        <v>13</v>
      </c>
      <c r="C42" s="39">
        <v>1993</v>
      </c>
      <c r="D42" s="39">
        <v>34</v>
      </c>
      <c r="F42" s="26" t="s">
        <v>12</v>
      </c>
      <c r="G42" s="41">
        <v>48.6</v>
      </c>
      <c r="H42" s="41">
        <v>45.7</v>
      </c>
      <c r="I42" s="41">
        <v>45.7</v>
      </c>
      <c r="J42" s="41">
        <v>45.3</v>
      </c>
      <c r="K42" s="41">
        <v>49.1</v>
      </c>
      <c r="L42" s="41">
        <v>39.700000000000003</v>
      </c>
      <c r="M42" s="41">
        <v>39.299999999999997</v>
      </c>
      <c r="N42" s="41">
        <v>43.6</v>
      </c>
      <c r="O42" s="41">
        <v>45.6</v>
      </c>
      <c r="P42" s="41">
        <v>50.1</v>
      </c>
      <c r="Q42" s="41">
        <v>42.9</v>
      </c>
      <c r="R42" s="41"/>
      <c r="S42" s="41">
        <v>50.1</v>
      </c>
    </row>
    <row r="43" spans="2:19" x14ac:dyDescent="0.2">
      <c r="B43" s="39" t="s">
        <v>13</v>
      </c>
      <c r="C43" s="39">
        <v>1994</v>
      </c>
      <c r="D43" s="39">
        <v>40.299999999999997</v>
      </c>
      <c r="F43" s="26" t="s">
        <v>13</v>
      </c>
      <c r="G43" s="41">
        <v>41.3</v>
      </c>
      <c r="H43" s="41">
        <v>38.5</v>
      </c>
      <c r="I43" s="41">
        <v>36.799999999999997</v>
      </c>
      <c r="J43" s="41">
        <v>34</v>
      </c>
      <c r="K43" s="41">
        <v>40.299999999999997</v>
      </c>
      <c r="L43" s="41">
        <v>33</v>
      </c>
      <c r="M43" s="41">
        <v>38.299999999999997</v>
      </c>
      <c r="N43" s="41">
        <v>37.200000000000003</v>
      </c>
      <c r="O43" s="41">
        <v>40.9</v>
      </c>
      <c r="P43" s="41">
        <v>38.200000000000003</v>
      </c>
      <c r="Q43" s="41">
        <v>28.1</v>
      </c>
      <c r="R43" s="41"/>
      <c r="S43" s="41">
        <v>41.3</v>
      </c>
    </row>
    <row r="44" spans="2:19" x14ac:dyDescent="0.2">
      <c r="B44" s="39" t="s">
        <v>13</v>
      </c>
      <c r="C44" s="39">
        <v>1995</v>
      </c>
      <c r="D44" s="39">
        <v>33</v>
      </c>
      <c r="F44" s="26" t="s">
        <v>137</v>
      </c>
      <c r="G44" s="41">
        <v>76.900000000000006</v>
      </c>
      <c r="H44" s="41">
        <v>77.900000000000006</v>
      </c>
      <c r="I44" s="41">
        <v>75.900000000000006</v>
      </c>
      <c r="J44" s="41">
        <v>79.7</v>
      </c>
      <c r="K44" s="41">
        <v>79.5</v>
      </c>
      <c r="L44" s="41">
        <v>78.2</v>
      </c>
      <c r="M44" s="41">
        <v>72.900000000000006</v>
      </c>
      <c r="N44" s="41">
        <v>75.8</v>
      </c>
      <c r="O44" s="41">
        <v>76.2</v>
      </c>
      <c r="P44" s="41">
        <v>78.5</v>
      </c>
      <c r="Q44" s="41">
        <v>73</v>
      </c>
      <c r="R44" s="41">
        <v>72.2</v>
      </c>
      <c r="S44" s="41">
        <v>79.7</v>
      </c>
    </row>
    <row r="45" spans="2:19" x14ac:dyDescent="0.2">
      <c r="B45" s="39" t="s">
        <v>13</v>
      </c>
      <c r="C45" s="39">
        <v>1996</v>
      </c>
      <c r="D45" s="39">
        <v>38.299999999999997</v>
      </c>
      <c r="F45"/>
      <c r="G45"/>
      <c r="H45"/>
    </row>
    <row r="46" spans="2:19" x14ac:dyDescent="0.2">
      <c r="B46" s="39" t="s">
        <v>13</v>
      </c>
      <c r="C46" s="39">
        <v>1997</v>
      </c>
      <c r="D46" s="39">
        <v>37.200000000000003</v>
      </c>
      <c r="F46"/>
      <c r="G46"/>
      <c r="H46"/>
    </row>
    <row r="47" spans="2:19" x14ac:dyDescent="0.2">
      <c r="B47" s="39" t="s">
        <v>13</v>
      </c>
      <c r="C47" s="39">
        <v>1998</v>
      </c>
      <c r="D47" s="39">
        <v>40.9</v>
      </c>
      <c r="F47"/>
      <c r="G47"/>
      <c r="H47"/>
    </row>
    <row r="48" spans="2:19" x14ac:dyDescent="0.2">
      <c r="B48" s="39" t="s">
        <v>13</v>
      </c>
      <c r="C48" s="39">
        <v>1999</v>
      </c>
      <c r="D48" s="39">
        <v>38.200000000000003</v>
      </c>
    </row>
    <row r="49" spans="2:4" x14ac:dyDescent="0.2">
      <c r="B49" s="39" t="s">
        <v>13</v>
      </c>
      <c r="C49" s="39">
        <v>2000</v>
      </c>
      <c r="D49" s="39">
        <v>28.1</v>
      </c>
    </row>
    <row r="50" spans="2:4" x14ac:dyDescent="0.2">
      <c r="B50" s="39" t="s">
        <v>3</v>
      </c>
      <c r="C50" s="39">
        <v>1990</v>
      </c>
      <c r="D50" s="39">
        <v>42.2</v>
      </c>
    </row>
    <row r="51" spans="2:4" x14ac:dyDescent="0.2">
      <c r="B51" s="39" t="s">
        <v>3</v>
      </c>
      <c r="C51" s="39">
        <v>1991</v>
      </c>
      <c r="D51" s="39">
        <v>39.5</v>
      </c>
    </row>
    <row r="52" spans="2:4" x14ac:dyDescent="0.2">
      <c r="B52" s="39" t="s">
        <v>3</v>
      </c>
      <c r="C52" s="39">
        <v>1992</v>
      </c>
      <c r="D52" s="39">
        <v>38</v>
      </c>
    </row>
    <row r="53" spans="2:4" x14ac:dyDescent="0.2">
      <c r="B53" s="39" t="s">
        <v>3</v>
      </c>
      <c r="C53" s="39">
        <v>1993</v>
      </c>
      <c r="D53" s="39">
        <v>31.7</v>
      </c>
    </row>
    <row r="54" spans="2:4" x14ac:dyDescent="0.2">
      <c r="B54" s="39" t="s">
        <v>3</v>
      </c>
      <c r="C54" s="39">
        <v>1994</v>
      </c>
      <c r="D54" s="39">
        <v>33.299999999999997</v>
      </c>
    </row>
    <row r="55" spans="2:4" x14ac:dyDescent="0.2">
      <c r="B55" s="39" t="s">
        <v>3</v>
      </c>
      <c r="C55" s="39">
        <v>1995</v>
      </c>
      <c r="D55" s="39">
        <v>31.3</v>
      </c>
    </row>
    <row r="56" spans="2:4" x14ac:dyDescent="0.2">
      <c r="B56" s="39" t="s">
        <v>3</v>
      </c>
      <c r="C56" s="39">
        <v>1996</v>
      </c>
      <c r="D56" s="39">
        <v>34.700000000000003</v>
      </c>
    </row>
    <row r="57" spans="2:4" x14ac:dyDescent="0.2">
      <c r="B57" s="39" t="s">
        <v>3</v>
      </c>
      <c r="C57" s="39">
        <v>1997</v>
      </c>
      <c r="D57" s="39">
        <v>40.5</v>
      </c>
    </row>
    <row r="58" spans="2:4" x14ac:dyDescent="0.2">
      <c r="B58" s="39" t="s">
        <v>3</v>
      </c>
      <c r="C58" s="39">
        <v>1998</v>
      </c>
      <c r="D58" s="39">
        <v>41</v>
      </c>
    </row>
    <row r="59" spans="2:4" x14ac:dyDescent="0.2">
      <c r="B59" s="39" t="s">
        <v>3</v>
      </c>
      <c r="C59" s="39">
        <v>1999</v>
      </c>
      <c r="D59" s="39">
        <v>37.5</v>
      </c>
    </row>
    <row r="60" spans="2:4" x14ac:dyDescent="0.2">
      <c r="B60" s="39" t="s">
        <v>3</v>
      </c>
      <c r="C60" s="39">
        <v>2000</v>
      </c>
      <c r="D60" s="39">
        <v>36.799999999999997</v>
      </c>
    </row>
    <row r="61" spans="2:4" x14ac:dyDescent="0.2">
      <c r="B61" s="39" t="s">
        <v>3</v>
      </c>
      <c r="C61" s="39">
        <v>2001</v>
      </c>
      <c r="D61" s="39">
        <v>38.5</v>
      </c>
    </row>
    <row r="62" spans="2:4" x14ac:dyDescent="0.2">
      <c r="B62" s="39" t="s">
        <v>2</v>
      </c>
      <c r="C62" s="39">
        <v>1990</v>
      </c>
      <c r="D62" s="39">
        <v>40.799999999999997</v>
      </c>
    </row>
    <row r="63" spans="2:4" x14ac:dyDescent="0.2">
      <c r="B63" s="39" t="s">
        <v>2</v>
      </c>
      <c r="C63" s="39">
        <v>1991</v>
      </c>
      <c r="D63" s="39">
        <v>34</v>
      </c>
    </row>
    <row r="64" spans="2:4" x14ac:dyDescent="0.2">
      <c r="B64" s="39" t="s">
        <v>2</v>
      </c>
      <c r="C64" s="39">
        <v>1992</v>
      </c>
      <c r="D64" s="39">
        <v>35</v>
      </c>
    </row>
    <row r="65" spans="2:4" x14ac:dyDescent="0.2">
      <c r="B65" s="39" t="s">
        <v>2</v>
      </c>
      <c r="C65" s="39">
        <v>1993</v>
      </c>
      <c r="D65" s="39">
        <v>36.799999999999997</v>
      </c>
    </row>
    <row r="66" spans="2:4" x14ac:dyDescent="0.2">
      <c r="B66" s="39" t="s">
        <v>2</v>
      </c>
      <c r="C66" s="39">
        <v>1994</v>
      </c>
      <c r="D66" s="39">
        <v>26.1</v>
      </c>
    </row>
    <row r="67" spans="2:4" x14ac:dyDescent="0.2">
      <c r="B67" s="39" t="s">
        <v>2</v>
      </c>
      <c r="C67" s="39">
        <v>1995</v>
      </c>
      <c r="D67" s="39">
        <v>37.200000000000003</v>
      </c>
    </row>
    <row r="68" spans="2:4" x14ac:dyDescent="0.2">
      <c r="B68" s="39" t="s">
        <v>2</v>
      </c>
      <c r="C68" s="39">
        <v>1996</v>
      </c>
      <c r="D68" s="39">
        <v>30</v>
      </c>
    </row>
    <row r="69" spans="2:4" x14ac:dyDescent="0.2">
      <c r="B69" s="39" t="s">
        <v>2</v>
      </c>
      <c r="C69" s="39">
        <v>1997</v>
      </c>
      <c r="D69" s="39">
        <v>32.5</v>
      </c>
    </row>
    <row r="70" spans="2:4" x14ac:dyDescent="0.2">
      <c r="B70" s="39" t="s">
        <v>2</v>
      </c>
      <c r="C70" s="39">
        <v>1998</v>
      </c>
      <c r="D70" s="39">
        <v>40.1</v>
      </c>
    </row>
    <row r="71" spans="2:4" x14ac:dyDescent="0.2">
      <c r="B71" s="39" t="s">
        <v>2</v>
      </c>
      <c r="C71" s="39">
        <v>1999</v>
      </c>
      <c r="D71" s="39">
        <v>34.9</v>
      </c>
    </row>
    <row r="72" spans="2:4" x14ac:dyDescent="0.2">
      <c r="B72" s="39" t="s">
        <v>2</v>
      </c>
      <c r="C72" s="39">
        <v>2000</v>
      </c>
      <c r="D72" s="39">
        <v>32.700000000000003</v>
      </c>
    </row>
    <row r="73" spans="2:4" x14ac:dyDescent="0.2">
      <c r="B73" s="39" t="s">
        <v>2</v>
      </c>
      <c r="C73" s="39">
        <v>2001</v>
      </c>
      <c r="D73" s="39">
        <v>32.299999999999997</v>
      </c>
    </row>
    <row r="74" spans="2:4" x14ac:dyDescent="0.2">
      <c r="B74" s="39" t="s">
        <v>8</v>
      </c>
      <c r="C74" s="39">
        <v>1990</v>
      </c>
      <c r="D74" s="39">
        <v>76.900000000000006</v>
      </c>
    </row>
    <row r="75" spans="2:4" x14ac:dyDescent="0.2">
      <c r="B75" s="39" t="s">
        <v>8</v>
      </c>
      <c r="C75" s="39">
        <v>1991</v>
      </c>
      <c r="D75" s="39">
        <v>77.900000000000006</v>
      </c>
    </row>
    <row r="76" spans="2:4" x14ac:dyDescent="0.2">
      <c r="B76" s="39" t="s">
        <v>8</v>
      </c>
      <c r="C76" s="39">
        <v>1992</v>
      </c>
      <c r="D76" s="39">
        <v>75.900000000000006</v>
      </c>
    </row>
    <row r="77" spans="2:4" x14ac:dyDescent="0.2">
      <c r="B77" s="39" t="s">
        <v>8</v>
      </c>
      <c r="C77" s="39">
        <v>1993</v>
      </c>
      <c r="D77" s="39">
        <v>79.7</v>
      </c>
    </row>
    <row r="78" spans="2:4" x14ac:dyDescent="0.2">
      <c r="B78" s="39" t="s">
        <v>8</v>
      </c>
      <c r="C78" s="39">
        <v>1994</v>
      </c>
      <c r="D78" s="39">
        <v>79.5</v>
      </c>
    </row>
    <row r="79" spans="2:4" x14ac:dyDescent="0.2">
      <c r="B79" s="39" t="s">
        <v>8</v>
      </c>
      <c r="C79" s="39">
        <v>1995</v>
      </c>
      <c r="D79" s="39">
        <v>78.2</v>
      </c>
    </row>
    <row r="80" spans="2:4" x14ac:dyDescent="0.2">
      <c r="B80" s="39" t="s">
        <v>8</v>
      </c>
      <c r="C80" s="39">
        <v>1996</v>
      </c>
      <c r="D80" s="39">
        <v>72.900000000000006</v>
      </c>
    </row>
    <row r="81" spans="2:4" x14ac:dyDescent="0.2">
      <c r="B81" s="39" t="s">
        <v>8</v>
      </c>
      <c r="C81" s="39">
        <v>1997</v>
      </c>
      <c r="D81" s="39">
        <v>75.8</v>
      </c>
    </row>
    <row r="82" spans="2:4" x14ac:dyDescent="0.2">
      <c r="B82" s="39" t="s">
        <v>8</v>
      </c>
      <c r="C82" s="39">
        <v>1998</v>
      </c>
      <c r="D82" s="39">
        <v>75.3</v>
      </c>
    </row>
    <row r="83" spans="2:4" x14ac:dyDescent="0.2">
      <c r="B83" s="39" t="s">
        <v>8</v>
      </c>
      <c r="C83" s="39">
        <v>1999</v>
      </c>
      <c r="D83" s="39">
        <v>78.5</v>
      </c>
    </row>
    <row r="84" spans="2:4" x14ac:dyDescent="0.2">
      <c r="B84" s="39" t="s">
        <v>8</v>
      </c>
      <c r="C84" s="39">
        <v>2000</v>
      </c>
      <c r="D84" s="39">
        <v>72.099999999999994</v>
      </c>
    </row>
    <row r="85" spans="2:4" x14ac:dyDescent="0.2">
      <c r="B85" s="39" t="s">
        <v>8</v>
      </c>
      <c r="C85" s="39">
        <v>2001</v>
      </c>
      <c r="D85" s="39">
        <v>72.2</v>
      </c>
    </row>
    <row r="86" spans="2:4" x14ac:dyDescent="0.2">
      <c r="B86" s="39" t="s">
        <v>7</v>
      </c>
      <c r="C86" s="39">
        <v>1990</v>
      </c>
      <c r="D86" s="39">
        <v>72</v>
      </c>
    </row>
    <row r="87" spans="2:4" x14ac:dyDescent="0.2">
      <c r="B87" s="39" t="s">
        <v>7</v>
      </c>
      <c r="C87" s="39">
        <v>1991</v>
      </c>
      <c r="D87" s="39">
        <v>72.3</v>
      </c>
    </row>
    <row r="88" spans="2:4" x14ac:dyDescent="0.2">
      <c r="B88" s="39" t="s">
        <v>7</v>
      </c>
      <c r="C88" s="39">
        <v>1992</v>
      </c>
      <c r="D88" s="39">
        <v>68.599999999999994</v>
      </c>
    </row>
    <row r="89" spans="2:4" x14ac:dyDescent="0.2">
      <c r="B89" s="39" t="s">
        <v>7</v>
      </c>
      <c r="C89" s="39">
        <v>1993</v>
      </c>
      <c r="D89" s="39">
        <v>72</v>
      </c>
    </row>
    <row r="90" spans="2:4" x14ac:dyDescent="0.2">
      <c r="B90" s="39" t="s">
        <v>7</v>
      </c>
      <c r="C90" s="39">
        <v>1994</v>
      </c>
      <c r="D90" s="39">
        <v>76.099999999999994</v>
      </c>
    </row>
    <row r="91" spans="2:4" x14ac:dyDescent="0.2">
      <c r="B91" s="39" t="s">
        <v>7</v>
      </c>
      <c r="C91" s="39">
        <v>1995</v>
      </c>
      <c r="D91" s="39">
        <v>71.5</v>
      </c>
    </row>
    <row r="92" spans="2:4" x14ac:dyDescent="0.2">
      <c r="B92" s="39" t="s">
        <v>7</v>
      </c>
      <c r="C92" s="39">
        <v>1996</v>
      </c>
      <c r="D92" s="39">
        <v>72.8</v>
      </c>
    </row>
    <row r="93" spans="2:4" x14ac:dyDescent="0.2">
      <c r="B93" s="39" t="s">
        <v>7</v>
      </c>
      <c r="C93" s="39">
        <v>1997</v>
      </c>
      <c r="D93" s="39">
        <v>69.099999999999994</v>
      </c>
    </row>
    <row r="94" spans="2:4" x14ac:dyDescent="0.2">
      <c r="B94" s="39" t="s">
        <v>7</v>
      </c>
      <c r="C94" s="39">
        <v>1998</v>
      </c>
      <c r="D94" s="39">
        <v>70.400000000000006</v>
      </c>
    </row>
    <row r="95" spans="2:4" x14ac:dyDescent="0.2">
      <c r="B95" s="39" t="s">
        <v>7</v>
      </c>
      <c r="C95" s="39">
        <v>1999</v>
      </c>
      <c r="D95" s="39">
        <v>70.8</v>
      </c>
    </row>
    <row r="96" spans="2:4" x14ac:dyDescent="0.2">
      <c r="B96" s="39" t="s">
        <v>7</v>
      </c>
      <c r="C96" s="39">
        <v>2000</v>
      </c>
      <c r="D96" s="39">
        <v>72.3</v>
      </c>
    </row>
    <row r="97" spans="2:4" x14ac:dyDescent="0.2">
      <c r="B97" s="39" t="s">
        <v>7</v>
      </c>
      <c r="C97" s="39">
        <v>2001</v>
      </c>
      <c r="D97" s="39">
        <v>69</v>
      </c>
    </row>
    <row r="98" spans="2:4" x14ac:dyDescent="0.2">
      <c r="B98" s="39" t="s">
        <v>4</v>
      </c>
      <c r="C98" s="39">
        <v>1990</v>
      </c>
      <c r="D98" s="39">
        <v>48.1</v>
      </c>
    </row>
    <row r="99" spans="2:4" x14ac:dyDescent="0.2">
      <c r="B99" s="39" t="s">
        <v>4</v>
      </c>
      <c r="C99" s="39">
        <v>1991</v>
      </c>
      <c r="D99" s="39">
        <v>46.1</v>
      </c>
    </row>
    <row r="100" spans="2:4" x14ac:dyDescent="0.2">
      <c r="B100" s="39" t="s">
        <v>4</v>
      </c>
      <c r="C100" s="39">
        <v>1992</v>
      </c>
      <c r="D100" s="39">
        <v>41.9</v>
      </c>
    </row>
    <row r="101" spans="2:4" x14ac:dyDescent="0.2">
      <c r="B101" s="39" t="s">
        <v>4</v>
      </c>
      <c r="C101" s="39">
        <v>1993</v>
      </c>
      <c r="D101" s="39">
        <v>39.299999999999997</v>
      </c>
    </row>
    <row r="102" spans="2:4" x14ac:dyDescent="0.2">
      <c r="B102" s="39" t="s">
        <v>4</v>
      </c>
      <c r="C102" s="39">
        <v>1994</v>
      </c>
      <c r="D102" s="39">
        <v>42.7</v>
      </c>
    </row>
    <row r="103" spans="2:4" x14ac:dyDescent="0.2">
      <c r="B103" s="39" t="s">
        <v>4</v>
      </c>
      <c r="C103" s="39">
        <v>1995</v>
      </c>
      <c r="D103" s="39">
        <v>46.1</v>
      </c>
    </row>
    <row r="104" spans="2:4" x14ac:dyDescent="0.2">
      <c r="B104" s="39" t="s">
        <v>4</v>
      </c>
      <c r="C104" s="39">
        <v>1996</v>
      </c>
      <c r="D104" s="39">
        <v>39.700000000000003</v>
      </c>
    </row>
    <row r="105" spans="2:4" x14ac:dyDescent="0.2">
      <c r="B105" s="39" t="s">
        <v>4</v>
      </c>
      <c r="C105" s="39">
        <v>1997</v>
      </c>
      <c r="D105" s="39">
        <v>44.6</v>
      </c>
    </row>
    <row r="106" spans="2:4" x14ac:dyDescent="0.2">
      <c r="B106" s="39" t="s">
        <v>4</v>
      </c>
      <c r="C106" s="39">
        <v>1998</v>
      </c>
      <c r="D106" s="39">
        <v>45.5</v>
      </c>
    </row>
    <row r="107" spans="2:4" x14ac:dyDescent="0.2">
      <c r="B107" s="39" t="s">
        <v>4</v>
      </c>
      <c r="C107" s="39">
        <v>1999</v>
      </c>
      <c r="D107" s="39">
        <v>41.4</v>
      </c>
    </row>
    <row r="108" spans="2:4" x14ac:dyDescent="0.2">
      <c r="B108" s="39" t="s">
        <v>4</v>
      </c>
      <c r="C108" s="39">
        <v>2000</v>
      </c>
      <c r="D108" s="39">
        <v>48.2</v>
      </c>
    </row>
    <row r="109" spans="2:4" x14ac:dyDescent="0.2">
      <c r="B109" s="39" t="s">
        <v>4</v>
      </c>
      <c r="C109" s="39">
        <v>2001</v>
      </c>
      <c r="D109" s="39">
        <v>36.200000000000003</v>
      </c>
    </row>
    <row r="110" spans="2:4" x14ac:dyDescent="0.2">
      <c r="B110" s="39" t="s">
        <v>6</v>
      </c>
      <c r="C110" s="39">
        <v>1990</v>
      </c>
      <c r="D110" s="39">
        <v>61.6</v>
      </c>
    </row>
    <row r="111" spans="2:4" x14ac:dyDescent="0.2">
      <c r="B111" s="39" t="s">
        <v>6</v>
      </c>
      <c r="C111" s="39">
        <v>1991</v>
      </c>
      <c r="D111" s="39">
        <v>69.3</v>
      </c>
    </row>
    <row r="112" spans="2:4" x14ac:dyDescent="0.2">
      <c r="B112" s="39" t="s">
        <v>6</v>
      </c>
      <c r="C112" s="39">
        <v>1992</v>
      </c>
      <c r="D112" s="39">
        <v>59.7</v>
      </c>
    </row>
    <row r="113" spans="2:4" x14ac:dyDescent="0.2">
      <c r="B113" s="39" t="s">
        <v>6</v>
      </c>
      <c r="C113" s="39">
        <v>1993</v>
      </c>
      <c r="D113" s="39">
        <v>64.5</v>
      </c>
    </row>
    <row r="114" spans="2:4" x14ac:dyDescent="0.2">
      <c r="B114" s="39" t="s">
        <v>6</v>
      </c>
      <c r="C114" s="39">
        <v>1994</v>
      </c>
      <c r="D114" s="39">
        <v>59.9</v>
      </c>
    </row>
    <row r="115" spans="2:4" x14ac:dyDescent="0.2">
      <c r="B115" s="39" t="s">
        <v>6</v>
      </c>
      <c r="C115" s="39">
        <v>1995</v>
      </c>
      <c r="D115" s="39">
        <v>62.7</v>
      </c>
    </row>
    <row r="116" spans="2:4" x14ac:dyDescent="0.2">
      <c r="B116" s="39" t="s">
        <v>6</v>
      </c>
      <c r="C116" s="39">
        <v>1996</v>
      </c>
      <c r="D116" s="39">
        <v>59.7</v>
      </c>
    </row>
    <row r="117" spans="2:4" x14ac:dyDescent="0.2">
      <c r="B117" s="39" t="s">
        <v>6</v>
      </c>
      <c r="C117" s="39">
        <v>1997</v>
      </c>
      <c r="D117" s="39">
        <v>58.8</v>
      </c>
    </row>
    <row r="118" spans="2:4" x14ac:dyDescent="0.2">
      <c r="B118" s="39" t="s">
        <v>6</v>
      </c>
      <c r="C118" s="39">
        <v>1998</v>
      </c>
      <c r="D118" s="39">
        <v>66</v>
      </c>
    </row>
    <row r="119" spans="2:4" x14ac:dyDescent="0.2">
      <c r="B119" s="39" t="s">
        <v>6</v>
      </c>
      <c r="C119" s="39">
        <v>1999</v>
      </c>
      <c r="D119" s="39">
        <v>62.8</v>
      </c>
    </row>
    <row r="120" spans="2:4" x14ac:dyDescent="0.2">
      <c r="B120" s="39" t="s">
        <v>6</v>
      </c>
      <c r="C120" s="39">
        <v>2000</v>
      </c>
      <c r="D120" s="39">
        <v>64.8</v>
      </c>
    </row>
    <row r="121" spans="2:4" x14ac:dyDescent="0.2">
      <c r="B121" s="39" t="s">
        <v>6</v>
      </c>
      <c r="C121" s="39">
        <v>2001</v>
      </c>
      <c r="D121" s="39">
        <v>60.8</v>
      </c>
    </row>
    <row r="122" spans="2:4" x14ac:dyDescent="0.2">
      <c r="B122" s="39" t="s">
        <v>12</v>
      </c>
      <c r="C122" s="39">
        <v>1990</v>
      </c>
      <c r="D122" s="39">
        <v>48.6</v>
      </c>
    </row>
    <row r="123" spans="2:4" x14ac:dyDescent="0.2">
      <c r="B123" s="39" t="s">
        <v>12</v>
      </c>
      <c r="C123" s="39">
        <v>1991</v>
      </c>
      <c r="D123" s="39">
        <v>45.7</v>
      </c>
    </row>
    <row r="124" spans="2:4" x14ac:dyDescent="0.2">
      <c r="B124" s="39" t="s">
        <v>12</v>
      </c>
      <c r="C124" s="39">
        <v>1992</v>
      </c>
      <c r="D124" s="39">
        <v>45.7</v>
      </c>
    </row>
    <row r="125" spans="2:4" x14ac:dyDescent="0.2">
      <c r="B125" s="39" t="s">
        <v>12</v>
      </c>
      <c r="C125" s="39">
        <v>1993</v>
      </c>
      <c r="D125" s="39">
        <v>45.3</v>
      </c>
    </row>
    <row r="126" spans="2:4" x14ac:dyDescent="0.2">
      <c r="B126" s="39" t="s">
        <v>12</v>
      </c>
      <c r="C126" s="39">
        <v>1994</v>
      </c>
      <c r="D126" s="39">
        <v>49.1</v>
      </c>
    </row>
    <row r="127" spans="2:4" x14ac:dyDescent="0.2">
      <c r="B127" s="39" t="s">
        <v>12</v>
      </c>
      <c r="C127" s="39">
        <v>1995</v>
      </c>
      <c r="D127" s="39">
        <v>39.700000000000003</v>
      </c>
    </row>
    <row r="128" spans="2:4" x14ac:dyDescent="0.2">
      <c r="B128" s="39" t="s">
        <v>12</v>
      </c>
      <c r="C128" s="39">
        <v>1996</v>
      </c>
      <c r="D128" s="39">
        <v>39.299999999999997</v>
      </c>
    </row>
    <row r="129" spans="2:4" x14ac:dyDescent="0.2">
      <c r="B129" s="39" t="s">
        <v>12</v>
      </c>
      <c r="C129" s="39">
        <v>1997</v>
      </c>
      <c r="D129" s="39">
        <v>43.6</v>
      </c>
    </row>
    <row r="130" spans="2:4" x14ac:dyDescent="0.2">
      <c r="B130" s="39" t="s">
        <v>12</v>
      </c>
      <c r="C130" s="39">
        <v>1998</v>
      </c>
      <c r="D130" s="39">
        <v>45.6</v>
      </c>
    </row>
    <row r="131" spans="2:4" x14ac:dyDescent="0.2">
      <c r="B131" s="39" t="s">
        <v>12</v>
      </c>
      <c r="C131" s="39">
        <v>1999</v>
      </c>
      <c r="D131" s="39">
        <v>50.1</v>
      </c>
    </row>
    <row r="132" spans="2:4" x14ac:dyDescent="0.2">
      <c r="B132" s="39" t="s">
        <v>12</v>
      </c>
      <c r="C132" s="39">
        <v>2000</v>
      </c>
      <c r="D132" s="39">
        <v>42.9</v>
      </c>
    </row>
    <row r="133" spans="2:4" x14ac:dyDescent="0.2">
      <c r="B133" s="39" t="s">
        <v>11</v>
      </c>
      <c r="C133" s="39">
        <v>1990</v>
      </c>
      <c r="D133" s="39">
        <v>58.7</v>
      </c>
    </row>
    <row r="134" spans="2:4" x14ac:dyDescent="0.2">
      <c r="B134" s="39" t="s">
        <v>11</v>
      </c>
      <c r="C134" s="39">
        <v>1991</v>
      </c>
      <c r="D134" s="39">
        <v>56.6</v>
      </c>
    </row>
    <row r="135" spans="2:4" x14ac:dyDescent="0.2">
      <c r="B135" s="39" t="s">
        <v>11</v>
      </c>
      <c r="C135" s="39">
        <v>1992</v>
      </c>
      <c r="D135" s="39">
        <v>52.2</v>
      </c>
    </row>
    <row r="136" spans="2:4" x14ac:dyDescent="0.2">
      <c r="B136" s="39" t="s">
        <v>11</v>
      </c>
      <c r="C136" s="39">
        <v>1993</v>
      </c>
      <c r="D136" s="39">
        <v>54.2</v>
      </c>
    </row>
    <row r="137" spans="2:4" x14ac:dyDescent="0.2">
      <c r="B137" s="39" t="s">
        <v>11</v>
      </c>
      <c r="C137" s="39">
        <v>1994</v>
      </c>
      <c r="D137" s="39">
        <v>53.9</v>
      </c>
    </row>
    <row r="138" spans="2:4" x14ac:dyDescent="0.2">
      <c r="B138" s="39" t="s">
        <v>11</v>
      </c>
      <c r="C138" s="39">
        <v>1995</v>
      </c>
      <c r="D138" s="39">
        <v>58.3</v>
      </c>
    </row>
    <row r="139" spans="2:4" x14ac:dyDescent="0.2">
      <c r="B139" s="39" t="s">
        <v>11</v>
      </c>
      <c r="C139" s="39">
        <v>1996</v>
      </c>
      <c r="D139" s="39">
        <v>55.7</v>
      </c>
    </row>
    <row r="140" spans="2:4" x14ac:dyDescent="0.2">
      <c r="B140" s="39" t="s">
        <v>11</v>
      </c>
      <c r="C140" s="39">
        <v>1997</v>
      </c>
      <c r="D140" s="39">
        <v>53.7</v>
      </c>
    </row>
    <row r="141" spans="2:4" x14ac:dyDescent="0.2">
      <c r="B141" s="39" t="s">
        <v>11</v>
      </c>
      <c r="C141" s="39">
        <v>1998</v>
      </c>
      <c r="D141" s="39">
        <v>56.2</v>
      </c>
    </row>
    <row r="142" spans="2:4" x14ac:dyDescent="0.2">
      <c r="B142" s="39" t="s">
        <v>11</v>
      </c>
      <c r="C142" s="39">
        <v>1999</v>
      </c>
      <c r="D142" s="39">
        <v>53.1</v>
      </c>
    </row>
    <row r="143" spans="2:4" x14ac:dyDescent="0.2">
      <c r="B143" s="39" t="s">
        <v>11</v>
      </c>
      <c r="C143" s="39">
        <v>2000</v>
      </c>
      <c r="D143" s="39">
        <v>57.2</v>
      </c>
    </row>
    <row r="144" spans="2:4" x14ac:dyDescent="0.2">
      <c r="B144" s="39" t="s">
        <v>10</v>
      </c>
      <c r="C144" s="39">
        <v>1990</v>
      </c>
      <c r="D144" s="39">
        <v>66.099999999999994</v>
      </c>
    </row>
    <row r="145" spans="2:4" x14ac:dyDescent="0.2">
      <c r="B145" s="39" t="s">
        <v>10</v>
      </c>
      <c r="C145" s="39">
        <v>1991</v>
      </c>
      <c r="D145" s="39">
        <v>67.599999999999994</v>
      </c>
    </row>
    <row r="146" spans="2:4" x14ac:dyDescent="0.2">
      <c r="B146" s="39" t="s">
        <v>10</v>
      </c>
      <c r="C146" s="39">
        <v>1992</v>
      </c>
      <c r="D146" s="39">
        <v>66</v>
      </c>
    </row>
    <row r="147" spans="2:4" x14ac:dyDescent="0.2">
      <c r="B147" s="39" t="s">
        <v>10</v>
      </c>
      <c r="C147" s="39">
        <v>1993</v>
      </c>
      <c r="D147" s="39">
        <v>68.7</v>
      </c>
    </row>
    <row r="148" spans="2:4" x14ac:dyDescent="0.2">
      <c r="B148" s="39" t="s">
        <v>10</v>
      </c>
      <c r="C148" s="39">
        <v>1994</v>
      </c>
      <c r="D148" s="39">
        <v>66.7</v>
      </c>
    </row>
    <row r="149" spans="2:4" x14ac:dyDescent="0.2">
      <c r="B149" s="39" t="s">
        <v>10</v>
      </c>
      <c r="C149" s="39">
        <v>1995</v>
      </c>
      <c r="D149" s="39">
        <v>67.099999999999994</v>
      </c>
    </row>
    <row r="150" spans="2:4" x14ac:dyDescent="0.2">
      <c r="B150" s="39" t="s">
        <v>10</v>
      </c>
      <c r="C150" s="39">
        <v>1996</v>
      </c>
      <c r="D150" s="39">
        <v>67.099999999999994</v>
      </c>
    </row>
    <row r="151" spans="2:4" x14ac:dyDescent="0.2">
      <c r="B151" s="39" t="s">
        <v>10</v>
      </c>
      <c r="C151" s="39">
        <v>1997</v>
      </c>
      <c r="D151" s="39">
        <v>65.099999999999994</v>
      </c>
    </row>
    <row r="152" spans="2:4" x14ac:dyDescent="0.2">
      <c r="B152" s="39" t="s">
        <v>10</v>
      </c>
      <c r="C152" s="39">
        <v>1998</v>
      </c>
      <c r="D152" s="39">
        <v>72.7</v>
      </c>
    </row>
    <row r="153" spans="2:4" x14ac:dyDescent="0.2">
      <c r="B153" s="39" t="s">
        <v>10</v>
      </c>
      <c r="C153" s="39">
        <v>1999</v>
      </c>
      <c r="D153" s="39">
        <v>67</v>
      </c>
    </row>
    <row r="154" spans="2:4" x14ac:dyDescent="0.2">
      <c r="B154" s="39" t="s">
        <v>10</v>
      </c>
      <c r="C154" s="39">
        <v>2000</v>
      </c>
      <c r="D154" s="39">
        <v>65.2</v>
      </c>
    </row>
    <row r="155" spans="2:4" x14ac:dyDescent="0.2">
      <c r="B155" s="39" t="s">
        <v>10</v>
      </c>
      <c r="C155" s="39">
        <v>2001</v>
      </c>
      <c r="D155" s="39">
        <v>65.3</v>
      </c>
    </row>
  </sheetData>
  <mergeCells count="11">
    <mergeCell ref="C3:T3"/>
    <mergeCell ref="B2:T2"/>
    <mergeCell ref="C12:T12"/>
    <mergeCell ref="C11:T11"/>
    <mergeCell ref="C10:T10"/>
    <mergeCell ref="C9:T9"/>
    <mergeCell ref="C8:T8"/>
    <mergeCell ref="C7:T7"/>
    <mergeCell ref="C6:T6"/>
    <mergeCell ref="C5:T5"/>
    <mergeCell ref="C4:T4"/>
  </mergeCells>
  <pageMargins left="0.7" right="0.7" top="0.75" bottom="0.75" header="0.3" footer="0.3"/>
  <drawing r:id="rId3"/>
  <tableParts count="1">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W478"/>
  <sheetViews>
    <sheetView showGridLines="0" workbookViewId="0">
      <selection sqref="A1:E1"/>
    </sheetView>
  </sheetViews>
  <sheetFormatPr defaultRowHeight="12.75" x14ac:dyDescent="0.2"/>
  <cols>
    <col min="1" max="1" width="12" bestFit="1" customWidth="1"/>
    <col min="2" max="2" width="14.140625" style="36" bestFit="1" customWidth="1"/>
    <col min="3" max="3" width="12" style="36" bestFit="1" customWidth="1"/>
    <col min="4" max="4" width="12.5703125" bestFit="1" customWidth="1"/>
    <col min="5" max="5" width="12.5703125" style="36" bestFit="1" customWidth="1"/>
    <col min="7" max="7" width="16.28515625" bestFit="1" customWidth="1"/>
    <col min="8" max="8" width="17" bestFit="1" customWidth="1"/>
    <col min="9" max="9" width="4.85546875" bestFit="1" customWidth="1"/>
    <col min="10" max="10" width="11.7109375" bestFit="1" customWidth="1"/>
    <col min="11" max="11" width="13.85546875" customWidth="1"/>
    <col min="12" max="12" width="17" customWidth="1"/>
    <col min="13" max="13" width="4.85546875" customWidth="1"/>
    <col min="14" max="14" width="11.7109375" customWidth="1"/>
    <col min="15" max="15" width="18" customWidth="1"/>
    <col min="16" max="16" width="21.7109375" customWidth="1"/>
    <col min="17" max="17" width="23.28515625" customWidth="1"/>
    <col min="18" max="18" width="11.7109375" bestFit="1" customWidth="1"/>
  </cols>
  <sheetData>
    <row r="1" spans="1:23" ht="15.75" x14ac:dyDescent="0.25">
      <c r="A1" s="68" t="s">
        <v>119</v>
      </c>
      <c r="B1" s="68"/>
      <c r="C1" s="68"/>
      <c r="D1" s="68"/>
      <c r="E1" s="68"/>
    </row>
    <row r="2" spans="1:23" ht="13.5" thickBot="1" x14ac:dyDescent="0.25"/>
    <row r="3" spans="1:23" ht="19.5" thickBot="1" x14ac:dyDescent="0.35">
      <c r="J3" s="12" t="s">
        <v>120</v>
      </c>
      <c r="K3" s="13"/>
      <c r="L3" s="13"/>
      <c r="M3" s="13"/>
      <c r="N3" s="13"/>
      <c r="O3" s="14"/>
    </row>
    <row r="5" spans="1:23" ht="15.75" x14ac:dyDescent="0.25">
      <c r="J5" s="38" t="s">
        <v>115</v>
      </c>
      <c r="K5" s="38"/>
      <c r="L5" s="38"/>
      <c r="M5" s="1"/>
      <c r="N5" s="1"/>
      <c r="O5" s="1"/>
      <c r="P5" s="1"/>
      <c r="Q5" s="1"/>
      <c r="R5" s="1"/>
      <c r="S5" s="1"/>
      <c r="T5" s="1"/>
      <c r="U5" s="1"/>
      <c r="V5" s="1"/>
      <c r="W5" s="1"/>
    </row>
    <row r="6" spans="1:23" x14ac:dyDescent="0.2">
      <c r="A6" s="39" t="s">
        <v>54</v>
      </c>
      <c r="B6" s="39" t="s">
        <v>55</v>
      </c>
      <c r="C6" s="39" t="s">
        <v>56</v>
      </c>
      <c r="D6" s="39" t="s">
        <v>57</v>
      </c>
      <c r="E6" s="39" t="s">
        <v>58</v>
      </c>
      <c r="I6" s="62" t="b">
        <v>1</v>
      </c>
      <c r="J6" s="5" t="s">
        <v>48</v>
      </c>
      <c r="K6" s="1" t="s">
        <v>117</v>
      </c>
      <c r="L6" s="1"/>
      <c r="M6" s="1"/>
      <c r="N6" s="1"/>
      <c r="O6" s="1"/>
      <c r="P6" s="1"/>
      <c r="Q6" s="1"/>
      <c r="R6" s="1"/>
      <c r="S6" s="1"/>
      <c r="T6" s="1"/>
      <c r="U6" s="1"/>
      <c r="V6" s="1"/>
      <c r="W6" s="1"/>
    </row>
    <row r="7" spans="1:23" x14ac:dyDescent="0.2">
      <c r="A7" s="39" t="s">
        <v>59</v>
      </c>
      <c r="B7" s="39" t="s">
        <v>60</v>
      </c>
      <c r="C7" s="39" t="s">
        <v>61</v>
      </c>
      <c r="D7" s="39">
        <v>177.72</v>
      </c>
      <c r="E7" s="39" t="s">
        <v>62</v>
      </c>
      <c r="J7" s="63" t="b">
        <v>1</v>
      </c>
      <c r="K7" s="1" t="s">
        <v>116</v>
      </c>
      <c r="L7" s="1"/>
      <c r="M7" s="1"/>
      <c r="N7" s="1"/>
      <c r="O7" s="1"/>
      <c r="P7" s="1"/>
      <c r="Q7" s="1"/>
      <c r="R7" s="1"/>
      <c r="S7" s="1"/>
      <c r="T7" s="1"/>
      <c r="U7" s="1"/>
      <c r="V7" s="1"/>
      <c r="W7" s="1"/>
    </row>
    <row r="8" spans="1:23" x14ac:dyDescent="0.2">
      <c r="A8" s="39" t="s">
        <v>59</v>
      </c>
      <c r="B8" s="39" t="s">
        <v>60</v>
      </c>
      <c r="C8" s="39" t="s">
        <v>61</v>
      </c>
      <c r="D8" s="39">
        <v>20.39</v>
      </c>
      <c r="E8" s="39" t="s">
        <v>62</v>
      </c>
      <c r="J8" s="63" t="b">
        <v>0</v>
      </c>
      <c r="K8" s="1" t="s">
        <v>118</v>
      </c>
      <c r="L8" s="1"/>
      <c r="M8" s="1"/>
      <c r="N8" s="1"/>
      <c r="O8" s="1"/>
      <c r="P8" s="1"/>
      <c r="Q8" s="1"/>
      <c r="R8" s="1"/>
      <c r="S8" s="1"/>
      <c r="T8" s="1"/>
      <c r="U8" s="1"/>
      <c r="V8" s="1"/>
      <c r="W8" s="1"/>
    </row>
    <row r="9" spans="1:23" x14ac:dyDescent="0.2">
      <c r="A9" s="39" t="s">
        <v>59</v>
      </c>
      <c r="B9" s="39" t="s">
        <v>60</v>
      </c>
      <c r="C9" s="39" t="s">
        <v>61</v>
      </c>
      <c r="D9" s="39">
        <v>151.66999999999999</v>
      </c>
      <c r="E9" s="39" t="s">
        <v>62</v>
      </c>
      <c r="J9" s="1"/>
      <c r="K9" s="1"/>
      <c r="L9" s="1"/>
      <c r="M9" s="1"/>
      <c r="N9" s="1"/>
      <c r="O9" s="1"/>
      <c r="P9" s="1"/>
      <c r="Q9" s="1"/>
      <c r="R9" s="1"/>
      <c r="S9" s="1"/>
      <c r="T9" s="1"/>
      <c r="U9" s="1"/>
      <c r="V9" s="1"/>
      <c r="W9" s="1"/>
    </row>
    <row r="10" spans="1:23" x14ac:dyDescent="0.2">
      <c r="A10" s="39" t="s">
        <v>59</v>
      </c>
      <c r="B10" s="39" t="s">
        <v>60</v>
      </c>
      <c r="C10" s="39" t="s">
        <v>61</v>
      </c>
      <c r="D10" s="39">
        <v>18.29</v>
      </c>
      <c r="E10" s="39" t="s">
        <v>62</v>
      </c>
      <c r="I10" s="62" t="b">
        <v>1</v>
      </c>
      <c r="J10" s="1">
        <v>1</v>
      </c>
      <c r="K10" s="1" t="s">
        <v>123</v>
      </c>
      <c r="L10" s="1"/>
      <c r="M10" s="1"/>
      <c r="N10" s="1"/>
      <c r="O10" s="1"/>
      <c r="P10" s="1"/>
      <c r="Q10" s="1"/>
      <c r="R10" s="1"/>
      <c r="S10" s="1"/>
      <c r="T10" s="1"/>
      <c r="U10" s="1"/>
      <c r="V10" s="1"/>
      <c r="W10" s="1"/>
    </row>
    <row r="11" spans="1:23" x14ac:dyDescent="0.2">
      <c r="A11" s="39" t="s">
        <v>59</v>
      </c>
      <c r="B11" s="39" t="s">
        <v>63</v>
      </c>
      <c r="C11" s="39" t="s">
        <v>61</v>
      </c>
      <c r="D11" s="39">
        <v>209.51</v>
      </c>
      <c r="E11" s="39" t="s">
        <v>62</v>
      </c>
      <c r="I11" s="62" t="b">
        <v>1</v>
      </c>
      <c r="J11" s="1">
        <v>2</v>
      </c>
      <c r="K11" s="5" t="s">
        <v>124</v>
      </c>
      <c r="L11" s="1"/>
      <c r="M11" s="1"/>
      <c r="N11" s="1"/>
      <c r="O11" s="1"/>
      <c r="P11" s="1"/>
      <c r="Q11" s="1"/>
      <c r="R11" s="1"/>
      <c r="S11" s="1"/>
      <c r="T11" s="1"/>
      <c r="U11" s="1"/>
      <c r="V11" s="1"/>
      <c r="W11" s="1"/>
    </row>
    <row r="12" spans="1:23" x14ac:dyDescent="0.2">
      <c r="A12" s="39" t="s">
        <v>59</v>
      </c>
      <c r="B12" s="39" t="s">
        <v>60</v>
      </c>
      <c r="C12" s="39" t="s">
        <v>61</v>
      </c>
      <c r="D12" s="39">
        <v>15.96</v>
      </c>
      <c r="E12" s="39" t="s">
        <v>62</v>
      </c>
      <c r="I12" s="62" t="b">
        <v>1</v>
      </c>
      <c r="J12" s="1">
        <v>3</v>
      </c>
      <c r="K12" s="5" t="s">
        <v>125</v>
      </c>
      <c r="L12" s="1"/>
      <c r="M12" s="1"/>
      <c r="N12" s="1"/>
      <c r="O12" s="1"/>
      <c r="P12" s="1"/>
      <c r="Q12" s="1"/>
      <c r="R12" s="1"/>
      <c r="S12" s="1"/>
      <c r="T12" s="1"/>
      <c r="U12" s="1"/>
      <c r="V12" s="1"/>
      <c r="W12" s="1"/>
    </row>
    <row r="13" spans="1:23" x14ac:dyDescent="0.2">
      <c r="A13" s="39" t="s">
        <v>59</v>
      </c>
      <c r="B13" s="39" t="s">
        <v>63</v>
      </c>
      <c r="C13" s="39" t="s">
        <v>61</v>
      </c>
      <c r="D13" s="39">
        <v>18.12</v>
      </c>
      <c r="E13" s="39" t="s">
        <v>62</v>
      </c>
      <c r="I13" s="62" t="b">
        <v>1</v>
      </c>
      <c r="J13" s="1">
        <v>4</v>
      </c>
      <c r="K13" s="5" t="s">
        <v>126</v>
      </c>
      <c r="L13" s="1"/>
      <c r="M13" s="1"/>
      <c r="N13" s="1"/>
      <c r="O13" s="1"/>
      <c r="P13" s="1"/>
      <c r="Q13" s="1"/>
      <c r="R13" s="1"/>
      <c r="S13" s="1"/>
      <c r="T13" s="1"/>
      <c r="U13" s="1"/>
      <c r="V13" s="1"/>
      <c r="W13" s="1"/>
    </row>
    <row r="14" spans="1:23" x14ac:dyDescent="0.2">
      <c r="A14" s="39" t="s">
        <v>59</v>
      </c>
      <c r="B14" s="39" t="s">
        <v>60</v>
      </c>
      <c r="C14" s="39" t="s">
        <v>61</v>
      </c>
      <c r="D14" s="39">
        <v>18.32</v>
      </c>
      <c r="E14" s="39" t="s">
        <v>62</v>
      </c>
      <c r="I14" s="62" t="b">
        <v>1</v>
      </c>
      <c r="J14" s="1">
        <v>5</v>
      </c>
      <c r="K14" s="5" t="s">
        <v>127</v>
      </c>
      <c r="L14" s="1"/>
      <c r="M14" s="1"/>
      <c r="N14" s="1"/>
      <c r="O14" s="1"/>
      <c r="P14" s="1"/>
      <c r="Q14" s="1"/>
      <c r="R14" s="1"/>
      <c r="S14" s="1"/>
      <c r="T14" s="1"/>
      <c r="U14" s="1"/>
      <c r="V14" s="1"/>
      <c r="W14" s="1"/>
    </row>
    <row r="15" spans="1:23" x14ac:dyDescent="0.2">
      <c r="A15" s="39" t="s">
        <v>59</v>
      </c>
      <c r="B15" s="39" t="s">
        <v>63</v>
      </c>
      <c r="C15" s="39" t="s">
        <v>61</v>
      </c>
      <c r="D15" s="39">
        <v>24.35</v>
      </c>
      <c r="E15" s="39" t="s">
        <v>62</v>
      </c>
      <c r="J15" s="1"/>
      <c r="K15" s="5"/>
      <c r="L15" s="1"/>
      <c r="M15" s="1"/>
      <c r="N15" s="1"/>
      <c r="O15" s="1"/>
      <c r="P15" s="1"/>
      <c r="Q15" s="1"/>
      <c r="R15" s="1"/>
      <c r="S15" s="1"/>
      <c r="T15" s="1"/>
      <c r="U15" s="1"/>
      <c r="V15" s="1"/>
      <c r="W15" s="1"/>
    </row>
    <row r="16" spans="1:23" x14ac:dyDescent="0.2">
      <c r="A16" s="39" t="s">
        <v>59</v>
      </c>
      <c r="B16" s="39" t="s">
        <v>60</v>
      </c>
      <c r="C16" s="39" t="s">
        <v>64</v>
      </c>
      <c r="D16" s="39">
        <v>19.399999999999999</v>
      </c>
      <c r="E16" s="39" t="s">
        <v>62</v>
      </c>
      <c r="G16" s="40" t="s">
        <v>174</v>
      </c>
      <c r="H16" s="40" t="s">
        <v>172</v>
      </c>
      <c r="K16" s="1"/>
      <c r="L16" s="1"/>
      <c r="M16" s="1"/>
      <c r="N16" s="1"/>
      <c r="O16" s="1"/>
      <c r="P16" s="1"/>
      <c r="Q16" s="1"/>
      <c r="R16" s="1"/>
      <c r="S16" s="1"/>
      <c r="T16" s="1"/>
      <c r="U16" s="1"/>
      <c r="V16" s="1"/>
      <c r="W16" s="1"/>
    </row>
    <row r="17" spans="1:23" x14ac:dyDescent="0.2">
      <c r="A17" s="39" t="s">
        <v>59</v>
      </c>
      <c r="B17" s="39" t="s">
        <v>63</v>
      </c>
      <c r="C17" s="39" t="s">
        <v>64</v>
      </c>
      <c r="D17" s="39">
        <v>23.49</v>
      </c>
      <c r="E17" s="39" t="s">
        <v>62</v>
      </c>
      <c r="G17" s="40" t="s">
        <v>136</v>
      </c>
      <c r="H17" t="s">
        <v>62</v>
      </c>
      <c r="I17" t="s">
        <v>65</v>
      </c>
      <c r="J17" t="s">
        <v>137</v>
      </c>
      <c r="K17" s="1"/>
      <c r="L17" s="1"/>
      <c r="M17" s="1"/>
      <c r="N17" s="1"/>
      <c r="O17" s="1"/>
      <c r="P17" s="1"/>
      <c r="Q17" s="1"/>
      <c r="R17" s="1"/>
      <c r="S17" s="1"/>
      <c r="T17" s="1"/>
      <c r="U17" s="1"/>
      <c r="V17" s="1"/>
      <c r="W17" s="1"/>
    </row>
    <row r="18" spans="1:23" x14ac:dyDescent="0.2">
      <c r="A18" s="39" t="s">
        <v>59</v>
      </c>
      <c r="B18" s="39" t="s">
        <v>63</v>
      </c>
      <c r="C18" s="39" t="s">
        <v>61</v>
      </c>
      <c r="D18" s="39">
        <v>20.309999999999999</v>
      </c>
      <c r="E18" s="39" t="s">
        <v>62</v>
      </c>
      <c r="G18" s="26" t="s">
        <v>59</v>
      </c>
      <c r="H18" s="41">
        <v>56</v>
      </c>
      <c r="I18" s="41">
        <v>42</v>
      </c>
      <c r="J18" s="41">
        <v>98</v>
      </c>
      <c r="K18" s="1"/>
      <c r="L18" s="1"/>
      <c r="M18" s="1"/>
      <c r="N18" s="1"/>
      <c r="O18" s="1"/>
      <c r="P18" s="1"/>
      <c r="Q18" s="1"/>
      <c r="R18" s="1"/>
      <c r="S18" s="1"/>
      <c r="T18" s="1"/>
      <c r="U18" s="1"/>
      <c r="V18" s="1"/>
      <c r="W18" s="1"/>
    </row>
    <row r="19" spans="1:23" x14ac:dyDescent="0.2">
      <c r="A19" s="39" t="s">
        <v>59</v>
      </c>
      <c r="B19" s="39" t="s">
        <v>60</v>
      </c>
      <c r="C19" s="39" t="s">
        <v>64</v>
      </c>
      <c r="D19" s="39">
        <v>23.62</v>
      </c>
      <c r="E19" s="39" t="s">
        <v>62</v>
      </c>
      <c r="G19" s="26" t="s">
        <v>67</v>
      </c>
      <c r="H19" s="41">
        <v>43</v>
      </c>
      <c r="I19" s="41">
        <v>42</v>
      </c>
      <c r="J19" s="41">
        <v>85</v>
      </c>
      <c r="K19" s="1"/>
      <c r="L19" s="1"/>
      <c r="M19" s="1"/>
      <c r="N19" s="1"/>
      <c r="O19" s="1"/>
      <c r="P19" s="1"/>
      <c r="Q19" s="1"/>
      <c r="R19" s="1"/>
      <c r="S19" s="1"/>
      <c r="T19" s="1"/>
      <c r="U19" s="1"/>
      <c r="V19" s="1"/>
      <c r="W19" s="1"/>
    </row>
    <row r="20" spans="1:23" x14ac:dyDescent="0.2">
      <c r="A20" s="39" t="s">
        <v>59</v>
      </c>
      <c r="B20" s="39" t="s">
        <v>60</v>
      </c>
      <c r="C20" s="39" t="s">
        <v>61</v>
      </c>
      <c r="D20" s="39">
        <v>216.37</v>
      </c>
      <c r="E20" s="39" t="s">
        <v>62</v>
      </c>
      <c r="G20" s="26" t="s">
        <v>68</v>
      </c>
      <c r="H20" s="41">
        <v>62</v>
      </c>
      <c r="I20" s="41">
        <v>37</v>
      </c>
      <c r="J20" s="41">
        <v>99</v>
      </c>
      <c r="K20" s="1"/>
      <c r="L20" s="1"/>
      <c r="M20" s="1"/>
      <c r="N20" s="1"/>
      <c r="O20" s="1"/>
      <c r="P20" s="1"/>
      <c r="Q20" s="1"/>
      <c r="R20" s="1"/>
      <c r="S20" s="1"/>
      <c r="T20" s="1"/>
      <c r="U20" s="1"/>
      <c r="V20" s="1"/>
      <c r="W20" s="1"/>
    </row>
    <row r="21" spans="1:23" x14ac:dyDescent="0.2">
      <c r="A21" s="39" t="s">
        <v>59</v>
      </c>
      <c r="B21" s="39" t="s">
        <v>60</v>
      </c>
      <c r="C21" s="39" t="s">
        <v>64</v>
      </c>
      <c r="D21" s="39">
        <v>17.309999999999999</v>
      </c>
      <c r="E21" s="39" t="s">
        <v>62</v>
      </c>
      <c r="G21" s="26" t="s">
        <v>66</v>
      </c>
      <c r="H21" s="41">
        <v>100</v>
      </c>
      <c r="I21" s="41">
        <v>90</v>
      </c>
      <c r="J21" s="41">
        <v>190</v>
      </c>
      <c r="K21" s="1"/>
      <c r="L21" s="1"/>
      <c r="M21" s="1"/>
      <c r="N21" s="1"/>
      <c r="O21" s="1"/>
      <c r="P21" s="1"/>
      <c r="Q21" s="1"/>
      <c r="R21" s="1"/>
      <c r="S21" s="1"/>
      <c r="T21" s="1"/>
      <c r="U21" s="1"/>
      <c r="V21" s="1"/>
      <c r="W21" s="1"/>
    </row>
    <row r="22" spans="1:23" x14ac:dyDescent="0.2">
      <c r="A22" s="39" t="s">
        <v>59</v>
      </c>
      <c r="B22" s="39" t="s">
        <v>60</v>
      </c>
      <c r="C22" s="39" t="s">
        <v>61</v>
      </c>
      <c r="D22" s="39">
        <v>19.350000000000001</v>
      </c>
      <c r="E22" s="39" t="s">
        <v>62</v>
      </c>
      <c r="G22" s="26" t="s">
        <v>137</v>
      </c>
      <c r="H22" s="41">
        <v>261</v>
      </c>
      <c r="I22" s="41">
        <v>211</v>
      </c>
      <c r="J22" s="41">
        <v>472</v>
      </c>
      <c r="K22" s="1"/>
      <c r="L22" s="1"/>
      <c r="M22" s="1"/>
      <c r="N22" s="1"/>
      <c r="O22" s="1"/>
      <c r="P22" s="1"/>
      <c r="Q22" s="1"/>
      <c r="R22" s="1"/>
      <c r="S22" s="1"/>
      <c r="T22" s="1"/>
      <c r="U22" s="1"/>
      <c r="V22" s="1"/>
      <c r="W22" s="1"/>
    </row>
    <row r="23" spans="1:23" x14ac:dyDescent="0.2">
      <c r="A23" s="39" t="s">
        <v>59</v>
      </c>
      <c r="B23" s="39" t="s">
        <v>60</v>
      </c>
      <c r="C23" s="39" t="s">
        <v>61</v>
      </c>
      <c r="D23" s="39">
        <v>22.83</v>
      </c>
      <c r="E23" s="39" t="s">
        <v>62</v>
      </c>
      <c r="K23" s="1"/>
      <c r="L23" s="1"/>
      <c r="M23" s="1"/>
      <c r="N23" s="1"/>
      <c r="O23" s="1"/>
      <c r="P23" s="1"/>
      <c r="Q23" s="1"/>
      <c r="R23" s="1"/>
      <c r="S23" s="1"/>
      <c r="T23" s="1"/>
      <c r="U23" s="1"/>
      <c r="V23" s="1"/>
      <c r="W23" s="1"/>
    </row>
    <row r="24" spans="1:23" x14ac:dyDescent="0.2">
      <c r="A24" s="39" t="s">
        <v>59</v>
      </c>
      <c r="B24" s="39" t="s">
        <v>60</v>
      </c>
      <c r="C24" s="39" t="s">
        <v>61</v>
      </c>
      <c r="D24" s="39">
        <v>174.18</v>
      </c>
      <c r="E24" s="39" t="s">
        <v>62</v>
      </c>
      <c r="J24" s="1"/>
      <c r="K24" s="1"/>
      <c r="L24" s="1"/>
      <c r="M24" s="1"/>
      <c r="N24" s="1"/>
      <c r="O24" s="1"/>
      <c r="P24" s="1"/>
      <c r="Q24" s="1"/>
      <c r="R24" s="1"/>
      <c r="S24" s="1"/>
      <c r="T24" s="1"/>
      <c r="U24" s="1"/>
      <c r="V24" s="1"/>
      <c r="W24" s="1"/>
    </row>
    <row r="25" spans="1:23" x14ac:dyDescent="0.2">
      <c r="A25" s="39" t="s">
        <v>59</v>
      </c>
      <c r="B25" s="39" t="s">
        <v>60</v>
      </c>
      <c r="C25" s="39" t="s">
        <v>64</v>
      </c>
      <c r="D25" s="39">
        <v>16.43</v>
      </c>
      <c r="E25" s="39" t="s">
        <v>62</v>
      </c>
      <c r="J25" s="1"/>
      <c r="K25" s="1"/>
      <c r="L25" s="1"/>
      <c r="M25" s="1"/>
      <c r="N25" s="1"/>
      <c r="O25" s="1"/>
      <c r="P25" s="1"/>
      <c r="Q25" s="1"/>
      <c r="R25" s="1"/>
      <c r="S25" s="1"/>
      <c r="T25" s="1"/>
      <c r="U25" s="1"/>
      <c r="V25" s="1"/>
      <c r="W25" s="1"/>
    </row>
    <row r="26" spans="1:23" x14ac:dyDescent="0.2">
      <c r="A26" s="39" t="s">
        <v>59</v>
      </c>
      <c r="B26" s="39" t="s">
        <v>60</v>
      </c>
      <c r="C26" s="39" t="s">
        <v>64</v>
      </c>
      <c r="D26" s="39">
        <v>15.71</v>
      </c>
      <c r="E26" s="39" t="s">
        <v>62</v>
      </c>
      <c r="J26" s="1"/>
      <c r="K26" s="1"/>
      <c r="L26" s="1"/>
      <c r="M26" s="1"/>
      <c r="N26" s="1"/>
      <c r="O26" s="1"/>
      <c r="P26" s="1"/>
      <c r="Q26" s="1"/>
      <c r="R26" s="1"/>
      <c r="S26" s="1"/>
      <c r="T26" s="1"/>
      <c r="U26" s="1"/>
      <c r="V26" s="1"/>
      <c r="W26" s="1"/>
    </row>
    <row r="27" spans="1:23" x14ac:dyDescent="0.2">
      <c r="A27" s="39" t="s">
        <v>59</v>
      </c>
      <c r="B27" s="39" t="s">
        <v>63</v>
      </c>
      <c r="C27" s="39" t="s">
        <v>64</v>
      </c>
      <c r="D27" s="39">
        <v>17.489999999999998</v>
      </c>
      <c r="E27" s="39" t="s">
        <v>62</v>
      </c>
      <c r="I27" s="62" t="b">
        <v>1</v>
      </c>
      <c r="J27" s="1" t="s">
        <v>49</v>
      </c>
      <c r="K27" s="1" t="s">
        <v>121</v>
      </c>
      <c r="L27" s="1"/>
      <c r="M27" s="1"/>
      <c r="N27" s="1"/>
      <c r="O27" s="1"/>
      <c r="P27" s="1"/>
      <c r="Q27" s="1"/>
      <c r="R27" s="1"/>
      <c r="S27" s="1"/>
      <c r="T27" s="1"/>
      <c r="U27" s="1"/>
      <c r="V27" s="1"/>
      <c r="W27" s="1"/>
    </row>
    <row r="28" spans="1:23" x14ac:dyDescent="0.2">
      <c r="A28" s="39" t="s">
        <v>59</v>
      </c>
      <c r="B28" s="39" t="s">
        <v>60</v>
      </c>
      <c r="C28" s="39" t="s">
        <v>61</v>
      </c>
      <c r="D28" s="39">
        <v>24.35</v>
      </c>
      <c r="E28" s="39" t="s">
        <v>62</v>
      </c>
      <c r="J28" s="63" t="b">
        <v>1</v>
      </c>
      <c r="K28" s="1" t="s">
        <v>122</v>
      </c>
      <c r="L28" s="1"/>
      <c r="M28" s="1"/>
      <c r="N28" s="1"/>
      <c r="O28" s="1"/>
      <c r="P28" s="1"/>
      <c r="Q28" s="1"/>
      <c r="R28" s="1"/>
      <c r="S28" s="1"/>
      <c r="T28" s="1"/>
      <c r="U28" s="1"/>
      <c r="V28" s="1"/>
      <c r="W28" s="1"/>
    </row>
    <row r="29" spans="1:23" x14ac:dyDescent="0.2">
      <c r="A29" s="39" t="s">
        <v>59</v>
      </c>
      <c r="B29" s="39" t="s">
        <v>60</v>
      </c>
      <c r="C29" s="39" t="s">
        <v>64</v>
      </c>
      <c r="D29" s="39">
        <v>177.32</v>
      </c>
      <c r="E29" s="39" t="s">
        <v>62</v>
      </c>
      <c r="J29" s="63" t="b">
        <v>0</v>
      </c>
      <c r="K29" s="1" t="s">
        <v>71</v>
      </c>
      <c r="L29" s="1"/>
      <c r="M29" s="1"/>
      <c r="N29" s="1"/>
      <c r="O29" s="1"/>
      <c r="P29" s="1"/>
      <c r="Q29" s="1"/>
      <c r="R29" s="1"/>
      <c r="S29" s="1"/>
      <c r="T29" s="1"/>
      <c r="U29" s="1"/>
      <c r="V29" s="1"/>
      <c r="W29" s="1"/>
    </row>
    <row r="30" spans="1:23" x14ac:dyDescent="0.2">
      <c r="A30" s="39" t="s">
        <v>59</v>
      </c>
      <c r="B30" s="39" t="s">
        <v>60</v>
      </c>
      <c r="C30" s="39" t="s">
        <v>64</v>
      </c>
      <c r="D30" s="39">
        <v>24.4</v>
      </c>
      <c r="E30" s="39" t="s">
        <v>62</v>
      </c>
      <c r="Q30" s="1"/>
      <c r="R30" s="1"/>
      <c r="S30" s="1"/>
      <c r="T30" s="1"/>
      <c r="U30" s="1"/>
      <c r="V30" s="1"/>
      <c r="W30" s="1"/>
    </row>
    <row r="31" spans="1:23" x14ac:dyDescent="0.2">
      <c r="A31" s="39" t="s">
        <v>59</v>
      </c>
      <c r="B31" s="39" t="s">
        <v>63</v>
      </c>
      <c r="C31" s="39" t="s">
        <v>64</v>
      </c>
      <c r="D31" s="39">
        <v>16.13</v>
      </c>
      <c r="E31" s="39" t="s">
        <v>62</v>
      </c>
      <c r="I31" s="62" t="b">
        <v>1</v>
      </c>
      <c r="J31" s="1">
        <v>1</v>
      </c>
      <c r="K31" s="1" t="s">
        <v>128</v>
      </c>
      <c r="Q31" s="1"/>
      <c r="R31" s="1"/>
      <c r="S31" s="1"/>
      <c r="T31" s="1"/>
      <c r="U31" s="1"/>
      <c r="V31" s="1"/>
      <c r="W31" s="1"/>
    </row>
    <row r="32" spans="1:23" x14ac:dyDescent="0.2">
      <c r="A32" s="39" t="s">
        <v>59</v>
      </c>
      <c r="B32" s="39" t="s">
        <v>63</v>
      </c>
      <c r="C32" s="39" t="s">
        <v>61</v>
      </c>
      <c r="D32" s="39">
        <v>17.100000000000001</v>
      </c>
      <c r="E32" s="39" t="s">
        <v>62</v>
      </c>
      <c r="I32" s="62" t="b">
        <v>1</v>
      </c>
      <c r="J32" s="1">
        <v>2</v>
      </c>
      <c r="K32" s="5" t="s">
        <v>124</v>
      </c>
      <c r="R32" s="1"/>
      <c r="S32" s="1"/>
      <c r="T32" s="1"/>
      <c r="U32" s="1"/>
      <c r="V32" s="1"/>
      <c r="W32" s="1"/>
    </row>
    <row r="33" spans="1:23" x14ac:dyDescent="0.2">
      <c r="A33" s="39" t="s">
        <v>59</v>
      </c>
      <c r="B33" s="39" t="s">
        <v>60</v>
      </c>
      <c r="C33" s="39" t="s">
        <v>64</v>
      </c>
      <c r="D33" s="39">
        <v>21.01</v>
      </c>
      <c r="E33" s="39" t="s">
        <v>62</v>
      </c>
      <c r="I33" s="62" t="b">
        <v>1</v>
      </c>
      <c r="J33" s="1">
        <v>3</v>
      </c>
      <c r="K33" s="5" t="s">
        <v>125</v>
      </c>
      <c r="R33" s="1"/>
      <c r="S33" s="1"/>
      <c r="T33" s="1"/>
      <c r="U33" s="1"/>
      <c r="V33" s="1"/>
      <c r="W33" s="1"/>
    </row>
    <row r="34" spans="1:23" x14ac:dyDescent="0.2">
      <c r="A34" s="39" t="s">
        <v>59</v>
      </c>
      <c r="B34" s="39" t="s">
        <v>60</v>
      </c>
      <c r="C34" s="39" t="s">
        <v>64</v>
      </c>
      <c r="D34" s="39">
        <v>16.34</v>
      </c>
      <c r="E34" s="39" t="s">
        <v>62</v>
      </c>
      <c r="I34" s="62" t="b">
        <v>1</v>
      </c>
      <c r="J34" s="1">
        <v>4</v>
      </c>
      <c r="K34" s="5" t="s">
        <v>129</v>
      </c>
      <c r="R34" s="1"/>
      <c r="S34" s="1"/>
      <c r="T34" s="1"/>
      <c r="U34" s="1"/>
      <c r="V34" s="1"/>
      <c r="W34" s="1"/>
    </row>
    <row r="35" spans="1:23" x14ac:dyDescent="0.2">
      <c r="A35" s="39" t="s">
        <v>59</v>
      </c>
      <c r="B35" s="39" t="s">
        <v>63</v>
      </c>
      <c r="C35" s="39" t="s">
        <v>61</v>
      </c>
      <c r="D35" s="39">
        <v>243.7</v>
      </c>
      <c r="E35" s="39" t="s">
        <v>62</v>
      </c>
      <c r="I35" s="62" t="b">
        <v>0</v>
      </c>
      <c r="J35" s="1">
        <v>5</v>
      </c>
      <c r="K35" s="5" t="s">
        <v>130</v>
      </c>
      <c r="R35" s="1"/>
      <c r="S35" s="1"/>
      <c r="T35" s="1"/>
      <c r="U35" s="1"/>
      <c r="V35" s="1"/>
      <c r="W35" s="1"/>
    </row>
    <row r="36" spans="1:23" x14ac:dyDescent="0.2">
      <c r="A36" s="39" t="s">
        <v>59</v>
      </c>
      <c r="B36" s="39" t="s">
        <v>60</v>
      </c>
      <c r="C36" s="39" t="s">
        <v>64</v>
      </c>
      <c r="D36" s="39">
        <v>209.2</v>
      </c>
      <c r="E36" s="39" t="s">
        <v>62</v>
      </c>
      <c r="K36" s="26"/>
      <c r="R36" s="1"/>
      <c r="S36" s="1"/>
      <c r="T36" s="1"/>
      <c r="U36" s="1"/>
      <c r="V36" s="1"/>
      <c r="W36" s="1"/>
    </row>
    <row r="37" spans="1:23" x14ac:dyDescent="0.2">
      <c r="A37" s="39" t="s">
        <v>59</v>
      </c>
      <c r="B37" s="39" t="s">
        <v>60</v>
      </c>
      <c r="C37" s="39" t="s">
        <v>64</v>
      </c>
      <c r="D37" s="39">
        <v>24</v>
      </c>
      <c r="E37" s="39" t="s">
        <v>62</v>
      </c>
      <c r="G37" s="40" t="s">
        <v>175</v>
      </c>
      <c r="H37" s="40" t="s">
        <v>172</v>
      </c>
      <c r="R37" s="1"/>
      <c r="S37" s="1"/>
      <c r="T37" s="1"/>
      <c r="U37" s="1"/>
      <c r="V37" s="1"/>
    </row>
    <row r="38" spans="1:23" x14ac:dyDescent="0.2">
      <c r="A38" s="39" t="s">
        <v>59</v>
      </c>
      <c r="B38" s="39" t="s">
        <v>63</v>
      </c>
      <c r="C38" s="39" t="s">
        <v>61</v>
      </c>
      <c r="D38" s="39">
        <v>17.190000000000001</v>
      </c>
      <c r="E38" s="39" t="s">
        <v>62</v>
      </c>
      <c r="G38" s="40" t="s">
        <v>136</v>
      </c>
      <c r="H38" t="s">
        <v>62</v>
      </c>
      <c r="I38" t="s">
        <v>65</v>
      </c>
      <c r="J38" t="s">
        <v>137</v>
      </c>
      <c r="R38" s="1"/>
      <c r="S38" s="1"/>
      <c r="T38" s="1"/>
      <c r="U38" s="1"/>
      <c r="V38" s="1"/>
      <c r="W38" s="1"/>
    </row>
    <row r="39" spans="1:23" x14ac:dyDescent="0.2">
      <c r="A39" s="39" t="s">
        <v>59</v>
      </c>
      <c r="B39" s="39" t="s">
        <v>60</v>
      </c>
      <c r="C39" s="39" t="s">
        <v>61</v>
      </c>
      <c r="D39" s="39">
        <v>21.64</v>
      </c>
      <c r="E39" s="39" t="s">
        <v>62</v>
      </c>
      <c r="G39" s="26" t="s">
        <v>59</v>
      </c>
      <c r="H39" s="41">
        <v>60.077500000000001</v>
      </c>
      <c r="I39" s="41">
        <v>19.192857142857143</v>
      </c>
      <c r="J39" s="41">
        <v>42.555510204081628</v>
      </c>
    </row>
    <row r="40" spans="1:23" x14ac:dyDescent="0.2">
      <c r="A40" s="39" t="s">
        <v>59</v>
      </c>
      <c r="B40" s="39" t="s">
        <v>60</v>
      </c>
      <c r="C40" s="39" t="s">
        <v>61</v>
      </c>
      <c r="D40" s="39">
        <v>15.32</v>
      </c>
      <c r="E40" s="39" t="s">
        <v>62</v>
      </c>
      <c r="G40" s="26" t="s">
        <v>67</v>
      </c>
      <c r="H40" s="41">
        <v>46.727209302325583</v>
      </c>
      <c r="I40" s="41">
        <v>19.999285714285715</v>
      </c>
      <c r="J40" s="41">
        <v>33.520470588235277</v>
      </c>
    </row>
    <row r="41" spans="1:23" x14ac:dyDescent="0.2">
      <c r="A41" s="39" t="s">
        <v>59</v>
      </c>
      <c r="B41" s="39" t="s">
        <v>60</v>
      </c>
      <c r="C41" s="39" t="s">
        <v>61</v>
      </c>
      <c r="D41" s="39">
        <v>20.97</v>
      </c>
      <c r="E41" s="39" t="s">
        <v>62</v>
      </c>
      <c r="G41" s="26" t="s">
        <v>68</v>
      </c>
      <c r="H41" s="41">
        <v>59.407419354838694</v>
      </c>
      <c r="I41" s="41">
        <v>19.968918918918924</v>
      </c>
      <c r="J41" s="41">
        <v>44.667777777777765</v>
      </c>
    </row>
    <row r="42" spans="1:23" x14ac:dyDescent="0.2">
      <c r="A42" s="39" t="s">
        <v>59</v>
      </c>
      <c r="B42" s="39" t="s">
        <v>60</v>
      </c>
      <c r="C42" s="39" t="s">
        <v>61</v>
      </c>
      <c r="D42" s="39">
        <v>23.08</v>
      </c>
      <c r="E42" s="39" t="s">
        <v>62</v>
      </c>
      <c r="G42" s="26" t="s">
        <v>66</v>
      </c>
      <c r="H42" s="41">
        <v>56.154000000000032</v>
      </c>
      <c r="I42" s="41">
        <v>19.969222222222221</v>
      </c>
      <c r="J42" s="41">
        <v>39.01384210526318</v>
      </c>
    </row>
    <row r="43" spans="1:23" x14ac:dyDescent="0.2">
      <c r="A43" s="39" t="s">
        <v>59</v>
      </c>
      <c r="B43" s="39" t="s">
        <v>63</v>
      </c>
      <c r="C43" s="39" t="s">
        <v>64</v>
      </c>
      <c r="D43" s="39">
        <v>24.61</v>
      </c>
      <c r="E43" s="39" t="s">
        <v>62</v>
      </c>
      <c r="G43" s="26" t="s">
        <v>137</v>
      </c>
      <c r="H43" s="41">
        <v>56.215593869731805</v>
      </c>
      <c r="I43" s="41">
        <v>19.82061611374408</v>
      </c>
      <c r="J43" s="41">
        <v>39.945805084745764</v>
      </c>
    </row>
    <row r="44" spans="1:23" x14ac:dyDescent="0.2">
      <c r="A44" s="39" t="s">
        <v>59</v>
      </c>
      <c r="B44" s="39" t="s">
        <v>60</v>
      </c>
      <c r="C44" s="39" t="s">
        <v>61</v>
      </c>
      <c r="D44" s="39">
        <v>24.97</v>
      </c>
      <c r="E44" s="39" t="s">
        <v>62</v>
      </c>
    </row>
    <row r="45" spans="1:23" x14ac:dyDescent="0.2">
      <c r="A45" s="39" t="s">
        <v>59</v>
      </c>
      <c r="B45" s="39" t="s">
        <v>60</v>
      </c>
      <c r="C45" s="39" t="s">
        <v>64</v>
      </c>
      <c r="D45" s="39">
        <v>244.75</v>
      </c>
      <c r="E45" s="39" t="s">
        <v>62</v>
      </c>
    </row>
    <row r="46" spans="1:23" x14ac:dyDescent="0.2">
      <c r="A46" s="39" t="s">
        <v>59</v>
      </c>
      <c r="B46" s="39" t="s">
        <v>60</v>
      </c>
      <c r="C46" s="39" t="s">
        <v>61</v>
      </c>
      <c r="D46" s="39">
        <v>162.74</v>
      </c>
      <c r="E46" s="39" t="s">
        <v>62</v>
      </c>
    </row>
    <row r="47" spans="1:23" x14ac:dyDescent="0.2">
      <c r="A47" s="39" t="s">
        <v>59</v>
      </c>
      <c r="B47" s="39" t="s">
        <v>63</v>
      </c>
      <c r="C47" s="39" t="s">
        <v>64</v>
      </c>
      <c r="D47" s="39">
        <v>19.829999999999998</v>
      </c>
      <c r="E47" s="39" t="s">
        <v>62</v>
      </c>
    </row>
    <row r="48" spans="1:23" x14ac:dyDescent="0.2">
      <c r="A48" s="39" t="s">
        <v>59</v>
      </c>
      <c r="B48" s="39" t="s">
        <v>63</v>
      </c>
      <c r="C48" s="39" t="s">
        <v>61</v>
      </c>
      <c r="D48" s="39">
        <v>19.649999999999999</v>
      </c>
      <c r="E48" s="39" t="s">
        <v>62</v>
      </c>
    </row>
    <row r="49" spans="1:11" x14ac:dyDescent="0.2">
      <c r="A49" s="39" t="s">
        <v>59</v>
      </c>
      <c r="B49" s="39" t="s">
        <v>60</v>
      </c>
      <c r="C49" s="39" t="s">
        <v>61</v>
      </c>
      <c r="D49" s="39">
        <v>22.41</v>
      </c>
      <c r="E49" s="39" t="s">
        <v>62</v>
      </c>
    </row>
    <row r="50" spans="1:11" x14ac:dyDescent="0.2">
      <c r="A50" s="39" t="s">
        <v>59</v>
      </c>
      <c r="B50" s="39" t="s">
        <v>60</v>
      </c>
      <c r="C50" s="39" t="s">
        <v>61</v>
      </c>
      <c r="D50" s="39">
        <v>21.32</v>
      </c>
      <c r="E50" s="39" t="s">
        <v>62</v>
      </c>
    </row>
    <row r="51" spans="1:11" x14ac:dyDescent="0.2">
      <c r="A51" s="39" t="s">
        <v>59</v>
      </c>
      <c r="B51" s="39" t="s">
        <v>63</v>
      </c>
      <c r="C51" s="39" t="s">
        <v>61</v>
      </c>
      <c r="D51" s="39">
        <v>150.86000000000001</v>
      </c>
      <c r="E51" s="39" t="s">
        <v>62</v>
      </c>
    </row>
    <row r="52" spans="1:11" x14ac:dyDescent="0.2">
      <c r="A52" s="39" t="s">
        <v>59</v>
      </c>
      <c r="B52" s="39" t="s">
        <v>60</v>
      </c>
      <c r="C52" s="39" t="s">
        <v>61</v>
      </c>
      <c r="D52" s="39">
        <v>199.18</v>
      </c>
      <c r="E52" s="39" t="s">
        <v>62</v>
      </c>
    </row>
    <row r="53" spans="1:11" x14ac:dyDescent="0.2">
      <c r="A53" s="39" t="s">
        <v>59</v>
      </c>
      <c r="B53" s="39" t="s">
        <v>63</v>
      </c>
      <c r="C53" s="39" t="s">
        <v>61</v>
      </c>
      <c r="D53" s="39">
        <v>24.8</v>
      </c>
      <c r="E53" s="39" t="s">
        <v>62</v>
      </c>
    </row>
    <row r="54" spans="1:11" x14ac:dyDescent="0.2">
      <c r="A54" s="39" t="s">
        <v>59</v>
      </c>
      <c r="B54" s="39" t="s">
        <v>60</v>
      </c>
      <c r="C54" s="39" t="s">
        <v>61</v>
      </c>
      <c r="D54" s="39">
        <v>17.38</v>
      </c>
      <c r="E54" s="39" t="s">
        <v>62</v>
      </c>
    </row>
    <row r="55" spans="1:11" x14ac:dyDescent="0.2">
      <c r="A55" s="39" t="s">
        <v>59</v>
      </c>
      <c r="B55" s="39" t="s">
        <v>60</v>
      </c>
      <c r="C55" s="39" t="s">
        <v>61</v>
      </c>
      <c r="D55" s="39">
        <v>22.99</v>
      </c>
      <c r="E55" s="39" t="s">
        <v>62</v>
      </c>
    </row>
    <row r="56" spans="1:11" x14ac:dyDescent="0.2">
      <c r="A56" s="39" t="s">
        <v>59</v>
      </c>
      <c r="B56" s="39" t="s">
        <v>60</v>
      </c>
      <c r="C56" s="39" t="s">
        <v>61</v>
      </c>
      <c r="D56" s="39">
        <v>24.11</v>
      </c>
      <c r="E56" s="39" t="s">
        <v>62</v>
      </c>
    </row>
    <row r="57" spans="1:11" x14ac:dyDescent="0.2">
      <c r="A57" s="39" t="s">
        <v>59</v>
      </c>
      <c r="B57" s="39" t="s">
        <v>63</v>
      </c>
      <c r="C57" s="39" t="s">
        <v>61</v>
      </c>
      <c r="D57" s="39">
        <v>22.64</v>
      </c>
      <c r="E57" s="39" t="s">
        <v>62</v>
      </c>
    </row>
    <row r="58" spans="1:11" x14ac:dyDescent="0.2">
      <c r="A58" s="39" t="s">
        <v>59</v>
      </c>
      <c r="B58" s="39" t="s">
        <v>60</v>
      </c>
      <c r="C58" s="39" t="s">
        <v>61</v>
      </c>
      <c r="D58" s="39">
        <v>169.79</v>
      </c>
      <c r="E58" s="39" t="s">
        <v>62</v>
      </c>
      <c r="J58" s="18"/>
      <c r="K58" s="18"/>
    </row>
    <row r="59" spans="1:11" x14ac:dyDescent="0.2">
      <c r="A59" s="39" t="s">
        <v>59</v>
      </c>
      <c r="B59" s="39" t="s">
        <v>60</v>
      </c>
      <c r="C59" s="39" t="s">
        <v>61</v>
      </c>
      <c r="D59" s="39">
        <v>17.420000000000002</v>
      </c>
      <c r="E59" s="39" t="s">
        <v>62</v>
      </c>
      <c r="K59" s="18"/>
    </row>
    <row r="60" spans="1:11" x14ac:dyDescent="0.2">
      <c r="A60" s="39" t="s">
        <v>59</v>
      </c>
      <c r="B60" s="39" t="s">
        <v>60</v>
      </c>
      <c r="C60" s="39" t="s">
        <v>61</v>
      </c>
      <c r="D60" s="39">
        <v>18.77</v>
      </c>
      <c r="E60" s="39" t="s">
        <v>62</v>
      </c>
      <c r="K60" s="18"/>
    </row>
    <row r="61" spans="1:11" x14ac:dyDescent="0.2">
      <c r="A61" s="39" t="s">
        <v>59</v>
      </c>
      <c r="B61" s="39" t="s">
        <v>60</v>
      </c>
      <c r="C61" s="39" t="s">
        <v>61</v>
      </c>
      <c r="D61" s="39">
        <v>19.66</v>
      </c>
      <c r="E61" s="39" t="s">
        <v>62</v>
      </c>
    </row>
    <row r="62" spans="1:11" x14ac:dyDescent="0.2">
      <c r="A62" s="39" t="s">
        <v>59</v>
      </c>
      <c r="B62" s="39" t="s">
        <v>60</v>
      </c>
      <c r="C62" s="39" t="s">
        <v>64</v>
      </c>
      <c r="D62" s="39">
        <v>23.89</v>
      </c>
      <c r="E62" s="39" t="s">
        <v>62</v>
      </c>
      <c r="J62" s="18"/>
      <c r="K62" s="18"/>
    </row>
    <row r="63" spans="1:11" x14ac:dyDescent="0.2">
      <c r="A63" s="39" t="s">
        <v>59</v>
      </c>
      <c r="B63" s="39" t="s">
        <v>63</v>
      </c>
      <c r="C63" s="39" t="s">
        <v>61</v>
      </c>
      <c r="D63" s="39">
        <v>20.190000000000001</v>
      </c>
      <c r="E63" s="39" t="s">
        <v>65</v>
      </c>
    </row>
    <row r="64" spans="1:11" x14ac:dyDescent="0.2">
      <c r="A64" s="39" t="s">
        <v>59</v>
      </c>
      <c r="B64" s="39" t="s">
        <v>63</v>
      </c>
      <c r="C64" s="39" t="s">
        <v>61</v>
      </c>
      <c r="D64" s="39">
        <v>18.36</v>
      </c>
      <c r="E64" s="39" t="s">
        <v>65</v>
      </c>
      <c r="K64" s="26"/>
    </row>
    <row r="65" spans="1:11" x14ac:dyDescent="0.2">
      <c r="A65" s="39" t="s">
        <v>59</v>
      </c>
      <c r="B65" s="39" t="s">
        <v>60</v>
      </c>
      <c r="C65" s="39" t="s">
        <v>61</v>
      </c>
      <c r="D65" s="39">
        <v>16.3</v>
      </c>
      <c r="E65" s="39" t="s">
        <v>65</v>
      </c>
      <c r="K65" s="26"/>
    </row>
    <row r="66" spans="1:11" x14ac:dyDescent="0.2">
      <c r="A66" s="39" t="s">
        <v>59</v>
      </c>
      <c r="B66" s="39" t="s">
        <v>60</v>
      </c>
      <c r="C66" s="39" t="s">
        <v>61</v>
      </c>
      <c r="D66" s="39">
        <v>16.149999999999999</v>
      </c>
      <c r="E66" s="39" t="s">
        <v>65</v>
      </c>
      <c r="K66" s="26"/>
    </row>
    <row r="67" spans="1:11" x14ac:dyDescent="0.2">
      <c r="A67" s="39" t="s">
        <v>59</v>
      </c>
      <c r="B67" s="39" t="s">
        <v>60</v>
      </c>
      <c r="C67" s="39" t="s">
        <v>61</v>
      </c>
      <c r="D67" s="39">
        <v>18.37</v>
      </c>
      <c r="E67" s="39" t="s">
        <v>65</v>
      </c>
    </row>
    <row r="68" spans="1:11" x14ac:dyDescent="0.2">
      <c r="A68" s="39" t="s">
        <v>59</v>
      </c>
      <c r="B68" s="39" t="s">
        <v>60</v>
      </c>
      <c r="C68" s="39" t="s">
        <v>61</v>
      </c>
      <c r="D68" s="39">
        <v>18.22</v>
      </c>
      <c r="E68" s="39" t="s">
        <v>65</v>
      </c>
    </row>
    <row r="69" spans="1:11" x14ac:dyDescent="0.2">
      <c r="A69" s="39" t="s">
        <v>59</v>
      </c>
      <c r="B69" s="39" t="s">
        <v>60</v>
      </c>
      <c r="C69" s="39" t="s">
        <v>64</v>
      </c>
      <c r="D69" s="39">
        <v>16.100000000000001</v>
      </c>
      <c r="E69" s="39" t="s">
        <v>65</v>
      </c>
    </row>
    <row r="70" spans="1:11" x14ac:dyDescent="0.2">
      <c r="A70" s="39" t="s">
        <v>59</v>
      </c>
      <c r="B70" s="39" t="s">
        <v>60</v>
      </c>
      <c r="C70" s="39" t="s">
        <v>61</v>
      </c>
      <c r="D70" s="39">
        <v>15.95</v>
      </c>
      <c r="E70" s="39" t="s">
        <v>65</v>
      </c>
    </row>
    <row r="71" spans="1:11" x14ac:dyDescent="0.2">
      <c r="A71" s="39" t="s">
        <v>59</v>
      </c>
      <c r="B71" s="39" t="s">
        <v>60</v>
      </c>
      <c r="C71" s="39" t="s">
        <v>61</v>
      </c>
      <c r="D71" s="39">
        <v>21.7</v>
      </c>
      <c r="E71" s="39" t="s">
        <v>65</v>
      </c>
    </row>
    <row r="72" spans="1:11" x14ac:dyDescent="0.2">
      <c r="A72" s="39" t="s">
        <v>59</v>
      </c>
      <c r="B72" s="39" t="s">
        <v>60</v>
      </c>
      <c r="C72" s="39" t="s">
        <v>61</v>
      </c>
      <c r="D72" s="39">
        <v>16.43</v>
      </c>
      <c r="E72" s="39" t="s">
        <v>65</v>
      </c>
    </row>
    <row r="73" spans="1:11" x14ac:dyDescent="0.2">
      <c r="A73" s="39" t="s">
        <v>59</v>
      </c>
      <c r="B73" s="39" t="s">
        <v>60</v>
      </c>
      <c r="C73" s="39" t="s">
        <v>61</v>
      </c>
      <c r="D73" s="39">
        <v>17.47</v>
      </c>
      <c r="E73" s="39" t="s">
        <v>65</v>
      </c>
    </row>
    <row r="74" spans="1:11" x14ac:dyDescent="0.2">
      <c r="A74" s="39" t="s">
        <v>59</v>
      </c>
      <c r="B74" s="39" t="s">
        <v>60</v>
      </c>
      <c r="C74" s="39" t="s">
        <v>64</v>
      </c>
      <c r="D74" s="39">
        <v>20.309999999999999</v>
      </c>
      <c r="E74" s="39" t="s">
        <v>65</v>
      </c>
    </row>
    <row r="75" spans="1:11" x14ac:dyDescent="0.2">
      <c r="A75" s="39" t="s">
        <v>59</v>
      </c>
      <c r="B75" s="39" t="s">
        <v>60</v>
      </c>
      <c r="C75" s="39" t="s">
        <v>61</v>
      </c>
      <c r="D75" s="39">
        <v>18.25</v>
      </c>
      <c r="E75" s="39" t="s">
        <v>65</v>
      </c>
    </row>
    <row r="76" spans="1:11" x14ac:dyDescent="0.2">
      <c r="A76" s="39" t="s">
        <v>59</v>
      </c>
      <c r="B76" s="39" t="s">
        <v>60</v>
      </c>
      <c r="C76" s="39" t="s">
        <v>61</v>
      </c>
      <c r="D76" s="39">
        <v>17.420000000000002</v>
      </c>
      <c r="E76" s="39" t="s">
        <v>65</v>
      </c>
    </row>
    <row r="77" spans="1:11" x14ac:dyDescent="0.2">
      <c r="A77" s="39" t="s">
        <v>59</v>
      </c>
      <c r="B77" s="39" t="s">
        <v>60</v>
      </c>
      <c r="C77" s="39" t="s">
        <v>64</v>
      </c>
      <c r="D77" s="39">
        <v>23.73</v>
      </c>
      <c r="E77" s="39" t="s">
        <v>65</v>
      </c>
    </row>
    <row r="78" spans="1:11" x14ac:dyDescent="0.2">
      <c r="A78" s="39" t="s">
        <v>59</v>
      </c>
      <c r="B78" s="39" t="s">
        <v>60</v>
      </c>
      <c r="C78" s="39" t="s">
        <v>61</v>
      </c>
      <c r="D78" s="39">
        <v>20.75</v>
      </c>
      <c r="E78" s="39" t="s">
        <v>65</v>
      </c>
    </row>
    <row r="79" spans="1:11" x14ac:dyDescent="0.2">
      <c r="A79" s="39" t="s">
        <v>59</v>
      </c>
      <c r="B79" s="39" t="s">
        <v>63</v>
      </c>
      <c r="C79" s="39" t="s">
        <v>61</v>
      </c>
      <c r="D79" s="39">
        <v>22.2</v>
      </c>
      <c r="E79" s="39" t="s">
        <v>65</v>
      </c>
    </row>
    <row r="80" spans="1:11" x14ac:dyDescent="0.2">
      <c r="A80" s="39" t="s">
        <v>59</v>
      </c>
      <c r="B80" s="39" t="s">
        <v>63</v>
      </c>
      <c r="C80" s="39" t="s">
        <v>61</v>
      </c>
      <c r="D80" s="39">
        <v>21.15</v>
      </c>
      <c r="E80" s="39" t="s">
        <v>65</v>
      </c>
    </row>
    <row r="81" spans="1:5" x14ac:dyDescent="0.2">
      <c r="A81" s="39" t="s">
        <v>59</v>
      </c>
      <c r="B81" s="39" t="s">
        <v>60</v>
      </c>
      <c r="C81" s="39" t="s">
        <v>61</v>
      </c>
      <c r="D81" s="39">
        <v>15.16</v>
      </c>
      <c r="E81" s="39" t="s">
        <v>65</v>
      </c>
    </row>
    <row r="82" spans="1:5" x14ac:dyDescent="0.2">
      <c r="A82" s="39" t="s">
        <v>59</v>
      </c>
      <c r="B82" s="39" t="s">
        <v>60</v>
      </c>
      <c r="C82" s="39" t="s">
        <v>61</v>
      </c>
      <c r="D82" s="39">
        <v>18.940000000000001</v>
      </c>
      <c r="E82" s="39" t="s">
        <v>65</v>
      </c>
    </row>
    <row r="83" spans="1:5" x14ac:dyDescent="0.2">
      <c r="A83" s="39" t="s">
        <v>59</v>
      </c>
      <c r="B83" s="39" t="s">
        <v>60</v>
      </c>
      <c r="C83" s="39" t="s">
        <v>61</v>
      </c>
      <c r="D83" s="39">
        <v>15.59</v>
      </c>
      <c r="E83" s="39" t="s">
        <v>65</v>
      </c>
    </row>
    <row r="84" spans="1:5" x14ac:dyDescent="0.2">
      <c r="A84" s="39" t="s">
        <v>59</v>
      </c>
      <c r="B84" s="39" t="s">
        <v>60</v>
      </c>
      <c r="C84" s="39" t="s">
        <v>61</v>
      </c>
      <c r="D84" s="39">
        <v>17.2</v>
      </c>
      <c r="E84" s="39" t="s">
        <v>65</v>
      </c>
    </row>
    <row r="85" spans="1:5" x14ac:dyDescent="0.2">
      <c r="A85" s="39" t="s">
        <v>59</v>
      </c>
      <c r="B85" s="39" t="s">
        <v>60</v>
      </c>
      <c r="C85" s="39" t="s">
        <v>61</v>
      </c>
      <c r="D85" s="39">
        <v>15.81</v>
      </c>
      <c r="E85" s="39" t="s">
        <v>65</v>
      </c>
    </row>
    <row r="86" spans="1:5" x14ac:dyDescent="0.2">
      <c r="A86" s="39" t="s">
        <v>59</v>
      </c>
      <c r="B86" s="39" t="s">
        <v>60</v>
      </c>
      <c r="C86" s="39" t="s">
        <v>61</v>
      </c>
      <c r="D86" s="39">
        <v>24.71</v>
      </c>
      <c r="E86" s="39" t="s">
        <v>65</v>
      </c>
    </row>
    <row r="87" spans="1:5" x14ac:dyDescent="0.2">
      <c r="A87" s="39" t="s">
        <v>59</v>
      </c>
      <c r="B87" s="39" t="s">
        <v>60</v>
      </c>
      <c r="C87" s="39" t="s">
        <v>61</v>
      </c>
      <c r="D87" s="39">
        <v>21.49</v>
      </c>
      <c r="E87" s="39" t="s">
        <v>65</v>
      </c>
    </row>
    <row r="88" spans="1:5" x14ac:dyDescent="0.2">
      <c r="A88" s="39" t="s">
        <v>59</v>
      </c>
      <c r="B88" s="39" t="s">
        <v>60</v>
      </c>
      <c r="C88" s="39" t="s">
        <v>64</v>
      </c>
      <c r="D88" s="39">
        <v>21.85</v>
      </c>
      <c r="E88" s="39" t="s">
        <v>65</v>
      </c>
    </row>
    <row r="89" spans="1:5" x14ac:dyDescent="0.2">
      <c r="A89" s="39" t="s">
        <v>59</v>
      </c>
      <c r="B89" s="39" t="s">
        <v>60</v>
      </c>
      <c r="C89" s="39" t="s">
        <v>61</v>
      </c>
      <c r="D89" s="39">
        <v>22.05</v>
      </c>
      <c r="E89" s="39" t="s">
        <v>65</v>
      </c>
    </row>
    <row r="90" spans="1:5" x14ac:dyDescent="0.2">
      <c r="A90" s="39" t="s">
        <v>59</v>
      </c>
      <c r="B90" s="39" t="s">
        <v>60</v>
      </c>
      <c r="C90" s="39" t="s">
        <v>61</v>
      </c>
      <c r="D90" s="39">
        <v>22.8</v>
      </c>
      <c r="E90" s="39" t="s">
        <v>65</v>
      </c>
    </row>
    <row r="91" spans="1:5" x14ac:dyDescent="0.2">
      <c r="A91" s="39" t="s">
        <v>59</v>
      </c>
      <c r="B91" s="39" t="s">
        <v>60</v>
      </c>
      <c r="C91" s="39" t="s">
        <v>61</v>
      </c>
      <c r="D91" s="39">
        <v>21</v>
      </c>
      <c r="E91" s="39" t="s">
        <v>65</v>
      </c>
    </row>
    <row r="92" spans="1:5" x14ac:dyDescent="0.2">
      <c r="A92" s="39" t="s">
        <v>59</v>
      </c>
      <c r="B92" s="39" t="s">
        <v>60</v>
      </c>
      <c r="C92" s="39" t="s">
        <v>61</v>
      </c>
      <c r="D92" s="39">
        <v>17.34</v>
      </c>
      <c r="E92" s="39" t="s">
        <v>65</v>
      </c>
    </row>
    <row r="93" spans="1:5" x14ac:dyDescent="0.2">
      <c r="A93" s="39" t="s">
        <v>59</v>
      </c>
      <c r="B93" s="39" t="s">
        <v>60</v>
      </c>
      <c r="C93" s="39" t="s">
        <v>64</v>
      </c>
      <c r="D93" s="39">
        <v>17.22</v>
      </c>
      <c r="E93" s="39" t="s">
        <v>65</v>
      </c>
    </row>
    <row r="94" spans="1:5" x14ac:dyDescent="0.2">
      <c r="A94" s="39" t="s">
        <v>59</v>
      </c>
      <c r="B94" s="39" t="s">
        <v>60</v>
      </c>
      <c r="C94" s="39" t="s">
        <v>61</v>
      </c>
      <c r="D94" s="39">
        <v>15.45</v>
      </c>
      <c r="E94" s="39" t="s">
        <v>65</v>
      </c>
    </row>
    <row r="95" spans="1:5" x14ac:dyDescent="0.2">
      <c r="A95" s="39" t="s">
        <v>59</v>
      </c>
      <c r="B95" s="39" t="s">
        <v>63</v>
      </c>
      <c r="C95" s="39" t="s">
        <v>61</v>
      </c>
      <c r="D95" s="39">
        <v>23.4</v>
      </c>
      <c r="E95" s="39" t="s">
        <v>65</v>
      </c>
    </row>
    <row r="96" spans="1:5" x14ac:dyDescent="0.2">
      <c r="A96" s="39" t="s">
        <v>59</v>
      </c>
      <c r="B96" s="39" t="s">
        <v>60</v>
      </c>
      <c r="C96" s="39" t="s">
        <v>61</v>
      </c>
      <c r="D96" s="39">
        <v>16.86</v>
      </c>
      <c r="E96" s="39" t="s">
        <v>65</v>
      </c>
    </row>
    <row r="97" spans="1:5" x14ac:dyDescent="0.2">
      <c r="A97" s="39" t="s">
        <v>59</v>
      </c>
      <c r="B97" s="39" t="s">
        <v>60</v>
      </c>
      <c r="C97" s="39" t="s">
        <v>61</v>
      </c>
      <c r="D97" s="39">
        <v>24.58</v>
      </c>
      <c r="E97" s="39" t="s">
        <v>65</v>
      </c>
    </row>
    <row r="98" spans="1:5" x14ac:dyDescent="0.2">
      <c r="A98" s="39" t="s">
        <v>59</v>
      </c>
      <c r="B98" s="39" t="s">
        <v>60</v>
      </c>
      <c r="C98" s="39" t="s">
        <v>61</v>
      </c>
      <c r="D98" s="39">
        <v>15.55</v>
      </c>
      <c r="E98" s="39" t="s">
        <v>65</v>
      </c>
    </row>
    <row r="99" spans="1:5" x14ac:dyDescent="0.2">
      <c r="A99" s="39" t="s">
        <v>59</v>
      </c>
      <c r="B99" s="39" t="s">
        <v>63</v>
      </c>
      <c r="C99" s="39" t="s">
        <v>64</v>
      </c>
      <c r="D99" s="39">
        <v>22.51</v>
      </c>
      <c r="E99" s="39" t="s">
        <v>65</v>
      </c>
    </row>
    <row r="100" spans="1:5" x14ac:dyDescent="0.2">
      <c r="A100" s="39" t="s">
        <v>59</v>
      </c>
      <c r="B100" s="39" t="s">
        <v>63</v>
      </c>
      <c r="C100" s="39" t="s">
        <v>61</v>
      </c>
      <c r="D100" s="39">
        <v>16.149999999999999</v>
      </c>
      <c r="E100" s="39" t="s">
        <v>65</v>
      </c>
    </row>
    <row r="101" spans="1:5" x14ac:dyDescent="0.2">
      <c r="A101" s="39" t="s">
        <v>59</v>
      </c>
      <c r="B101" s="39" t="s">
        <v>60</v>
      </c>
      <c r="C101" s="39" t="s">
        <v>61</v>
      </c>
      <c r="D101" s="39">
        <v>23.87</v>
      </c>
      <c r="E101" s="39" t="s">
        <v>65</v>
      </c>
    </row>
    <row r="102" spans="1:5" x14ac:dyDescent="0.2">
      <c r="A102" s="39" t="s">
        <v>59</v>
      </c>
      <c r="B102" s="39" t="s">
        <v>63</v>
      </c>
      <c r="C102" s="39" t="s">
        <v>61</v>
      </c>
      <c r="D102" s="39">
        <v>17.670000000000002</v>
      </c>
      <c r="E102" s="39" t="s">
        <v>65</v>
      </c>
    </row>
    <row r="103" spans="1:5" x14ac:dyDescent="0.2">
      <c r="A103" s="39" t="s">
        <v>59</v>
      </c>
      <c r="B103" s="39" t="s">
        <v>60</v>
      </c>
      <c r="C103" s="39" t="s">
        <v>61</v>
      </c>
      <c r="D103" s="39">
        <v>17.28</v>
      </c>
      <c r="E103" s="39" t="s">
        <v>65</v>
      </c>
    </row>
    <row r="104" spans="1:5" x14ac:dyDescent="0.2">
      <c r="A104" s="39" t="s">
        <v>59</v>
      </c>
      <c r="B104" s="39" t="s">
        <v>60</v>
      </c>
      <c r="C104" s="39" t="s">
        <v>61</v>
      </c>
      <c r="D104" s="39">
        <v>22.57</v>
      </c>
      <c r="E104" s="39" t="s">
        <v>65</v>
      </c>
    </row>
    <row r="105" spans="1:5" x14ac:dyDescent="0.2">
      <c r="A105" s="39" t="s">
        <v>66</v>
      </c>
      <c r="B105" s="39" t="s">
        <v>63</v>
      </c>
      <c r="C105" s="39" t="s">
        <v>64</v>
      </c>
      <c r="D105" s="39">
        <v>23.51</v>
      </c>
      <c r="E105" s="39" t="s">
        <v>62</v>
      </c>
    </row>
    <row r="106" spans="1:5" x14ac:dyDescent="0.2">
      <c r="A106" s="39" t="s">
        <v>66</v>
      </c>
      <c r="B106" s="39" t="s">
        <v>60</v>
      </c>
      <c r="C106" s="39" t="s">
        <v>61</v>
      </c>
      <c r="D106" s="39">
        <v>21.76</v>
      </c>
      <c r="E106" s="39" t="s">
        <v>62</v>
      </c>
    </row>
    <row r="107" spans="1:5" x14ac:dyDescent="0.2">
      <c r="A107" s="39" t="s">
        <v>66</v>
      </c>
      <c r="B107" s="39" t="s">
        <v>60</v>
      </c>
      <c r="C107" s="39" t="s">
        <v>64</v>
      </c>
      <c r="D107" s="39">
        <v>19.510000000000002</v>
      </c>
      <c r="E107" s="39" t="s">
        <v>62</v>
      </c>
    </row>
    <row r="108" spans="1:5" x14ac:dyDescent="0.2">
      <c r="A108" s="39" t="s">
        <v>66</v>
      </c>
      <c r="B108" s="39" t="s">
        <v>63</v>
      </c>
      <c r="C108" s="39" t="s">
        <v>61</v>
      </c>
      <c r="D108" s="39">
        <v>20.16</v>
      </c>
      <c r="E108" s="39" t="s">
        <v>62</v>
      </c>
    </row>
    <row r="109" spans="1:5" x14ac:dyDescent="0.2">
      <c r="A109" s="39" t="s">
        <v>66</v>
      </c>
      <c r="B109" s="39" t="s">
        <v>60</v>
      </c>
      <c r="C109" s="39" t="s">
        <v>61</v>
      </c>
      <c r="D109" s="39">
        <v>205.58</v>
      </c>
      <c r="E109" s="39" t="s">
        <v>62</v>
      </c>
    </row>
    <row r="110" spans="1:5" x14ac:dyDescent="0.2">
      <c r="A110" s="39" t="s">
        <v>66</v>
      </c>
      <c r="B110" s="39" t="s">
        <v>63</v>
      </c>
      <c r="C110" s="39" t="s">
        <v>64</v>
      </c>
      <c r="D110" s="39">
        <v>206.8</v>
      </c>
      <c r="E110" s="39" t="s">
        <v>62</v>
      </c>
    </row>
    <row r="111" spans="1:5" x14ac:dyDescent="0.2">
      <c r="A111" s="39" t="s">
        <v>66</v>
      </c>
      <c r="B111" s="39" t="s">
        <v>60</v>
      </c>
      <c r="C111" s="39" t="s">
        <v>61</v>
      </c>
      <c r="D111" s="39">
        <v>18.82</v>
      </c>
      <c r="E111" s="39" t="s">
        <v>62</v>
      </c>
    </row>
    <row r="112" spans="1:5" x14ac:dyDescent="0.2">
      <c r="A112" s="39" t="s">
        <v>66</v>
      </c>
      <c r="B112" s="39" t="s">
        <v>60</v>
      </c>
      <c r="C112" s="39" t="s">
        <v>61</v>
      </c>
      <c r="D112" s="39">
        <v>16.350000000000001</v>
      </c>
      <c r="E112" s="39" t="s">
        <v>62</v>
      </c>
    </row>
    <row r="113" spans="1:5" x14ac:dyDescent="0.2">
      <c r="A113" s="39" t="s">
        <v>66</v>
      </c>
      <c r="B113" s="39" t="s">
        <v>60</v>
      </c>
      <c r="C113" s="39" t="s">
        <v>61</v>
      </c>
      <c r="D113" s="39">
        <v>16.03</v>
      </c>
      <c r="E113" s="39" t="s">
        <v>62</v>
      </c>
    </row>
    <row r="114" spans="1:5" x14ac:dyDescent="0.2">
      <c r="A114" s="39" t="s">
        <v>66</v>
      </c>
      <c r="B114" s="39" t="s">
        <v>60</v>
      </c>
      <c r="C114" s="39" t="s">
        <v>61</v>
      </c>
      <c r="D114" s="39">
        <v>16.059999999999999</v>
      </c>
      <c r="E114" s="39" t="s">
        <v>62</v>
      </c>
    </row>
    <row r="115" spans="1:5" x14ac:dyDescent="0.2">
      <c r="A115" s="39" t="s">
        <v>66</v>
      </c>
      <c r="B115" s="39" t="s">
        <v>63</v>
      </c>
      <c r="C115" s="39" t="s">
        <v>61</v>
      </c>
      <c r="D115" s="39">
        <v>21.75</v>
      </c>
      <c r="E115" s="39" t="s">
        <v>62</v>
      </c>
    </row>
    <row r="116" spans="1:5" x14ac:dyDescent="0.2">
      <c r="A116" s="39" t="s">
        <v>66</v>
      </c>
      <c r="B116" s="39" t="s">
        <v>63</v>
      </c>
      <c r="C116" s="39" t="s">
        <v>61</v>
      </c>
      <c r="D116" s="39">
        <v>20.51</v>
      </c>
      <c r="E116" s="39" t="s">
        <v>62</v>
      </c>
    </row>
    <row r="117" spans="1:5" x14ac:dyDescent="0.2">
      <c r="A117" s="39" t="s">
        <v>66</v>
      </c>
      <c r="B117" s="39" t="s">
        <v>63</v>
      </c>
      <c r="C117" s="39" t="s">
        <v>64</v>
      </c>
      <c r="D117" s="39">
        <v>157.76</v>
      </c>
      <c r="E117" s="39" t="s">
        <v>62</v>
      </c>
    </row>
    <row r="118" spans="1:5" x14ac:dyDescent="0.2">
      <c r="A118" s="39" t="s">
        <v>66</v>
      </c>
      <c r="B118" s="39" t="s">
        <v>60</v>
      </c>
      <c r="C118" s="39" t="s">
        <v>61</v>
      </c>
      <c r="D118" s="39">
        <v>23.94</v>
      </c>
      <c r="E118" s="39" t="s">
        <v>62</v>
      </c>
    </row>
    <row r="119" spans="1:5" x14ac:dyDescent="0.2">
      <c r="A119" s="39" t="s">
        <v>66</v>
      </c>
      <c r="B119" s="39" t="s">
        <v>63</v>
      </c>
      <c r="C119" s="39" t="s">
        <v>64</v>
      </c>
      <c r="D119" s="39">
        <v>174.25</v>
      </c>
      <c r="E119" s="39" t="s">
        <v>62</v>
      </c>
    </row>
    <row r="120" spans="1:5" x14ac:dyDescent="0.2">
      <c r="A120" s="39" t="s">
        <v>66</v>
      </c>
      <c r="B120" s="39" t="s">
        <v>63</v>
      </c>
      <c r="C120" s="39" t="s">
        <v>64</v>
      </c>
      <c r="D120" s="39">
        <v>18.059999999999999</v>
      </c>
      <c r="E120" s="39" t="s">
        <v>62</v>
      </c>
    </row>
    <row r="121" spans="1:5" x14ac:dyDescent="0.2">
      <c r="A121" s="39" t="s">
        <v>66</v>
      </c>
      <c r="B121" s="39" t="s">
        <v>60</v>
      </c>
      <c r="C121" s="39" t="s">
        <v>61</v>
      </c>
      <c r="D121" s="39">
        <v>22.19</v>
      </c>
      <c r="E121" s="39" t="s">
        <v>62</v>
      </c>
    </row>
    <row r="122" spans="1:5" x14ac:dyDescent="0.2">
      <c r="A122" s="39" t="s">
        <v>66</v>
      </c>
      <c r="B122" s="39" t="s">
        <v>60</v>
      </c>
      <c r="C122" s="39" t="s">
        <v>61</v>
      </c>
      <c r="D122" s="39">
        <v>23.9</v>
      </c>
      <c r="E122" s="39" t="s">
        <v>62</v>
      </c>
    </row>
    <row r="123" spans="1:5" x14ac:dyDescent="0.2">
      <c r="A123" s="39" t="s">
        <v>66</v>
      </c>
      <c r="B123" s="39" t="s">
        <v>60</v>
      </c>
      <c r="C123" s="39" t="s">
        <v>64</v>
      </c>
      <c r="D123" s="39">
        <v>209.37</v>
      </c>
      <c r="E123" s="39" t="s">
        <v>62</v>
      </c>
    </row>
    <row r="124" spans="1:5" x14ac:dyDescent="0.2">
      <c r="A124" s="39" t="s">
        <v>66</v>
      </c>
      <c r="B124" s="39" t="s">
        <v>63</v>
      </c>
      <c r="C124" s="39" t="s">
        <v>61</v>
      </c>
      <c r="D124" s="39">
        <v>17.91</v>
      </c>
      <c r="E124" s="39" t="s">
        <v>62</v>
      </c>
    </row>
    <row r="125" spans="1:5" x14ac:dyDescent="0.2">
      <c r="A125" s="39" t="s">
        <v>66</v>
      </c>
      <c r="B125" s="39" t="s">
        <v>60</v>
      </c>
      <c r="C125" s="39" t="s">
        <v>61</v>
      </c>
      <c r="D125" s="39">
        <v>22.9</v>
      </c>
      <c r="E125" s="39" t="s">
        <v>62</v>
      </c>
    </row>
    <row r="126" spans="1:5" x14ac:dyDescent="0.2">
      <c r="A126" s="39" t="s">
        <v>66</v>
      </c>
      <c r="B126" s="39" t="s">
        <v>63</v>
      </c>
      <c r="C126" s="39" t="s">
        <v>61</v>
      </c>
      <c r="D126" s="39">
        <v>18.54</v>
      </c>
      <c r="E126" s="39" t="s">
        <v>62</v>
      </c>
    </row>
    <row r="127" spans="1:5" x14ac:dyDescent="0.2">
      <c r="A127" s="39" t="s">
        <v>66</v>
      </c>
      <c r="B127" s="39" t="s">
        <v>63</v>
      </c>
      <c r="C127" s="39" t="s">
        <v>61</v>
      </c>
      <c r="D127" s="39">
        <v>236.49</v>
      </c>
      <c r="E127" s="39" t="s">
        <v>62</v>
      </c>
    </row>
    <row r="128" spans="1:5" x14ac:dyDescent="0.2">
      <c r="A128" s="39" t="s">
        <v>66</v>
      </c>
      <c r="B128" s="39" t="s">
        <v>63</v>
      </c>
      <c r="C128" s="39" t="s">
        <v>61</v>
      </c>
      <c r="D128" s="39">
        <v>19.96</v>
      </c>
      <c r="E128" s="39" t="s">
        <v>62</v>
      </c>
    </row>
    <row r="129" spans="1:5" x14ac:dyDescent="0.2">
      <c r="A129" s="39" t="s">
        <v>66</v>
      </c>
      <c r="B129" s="39" t="s">
        <v>63</v>
      </c>
      <c r="C129" s="39" t="s">
        <v>64</v>
      </c>
      <c r="D129" s="39">
        <v>155.91</v>
      </c>
      <c r="E129" s="39" t="s">
        <v>62</v>
      </c>
    </row>
    <row r="130" spans="1:5" x14ac:dyDescent="0.2">
      <c r="A130" s="39" t="s">
        <v>66</v>
      </c>
      <c r="B130" s="39" t="s">
        <v>63</v>
      </c>
      <c r="C130" s="39" t="s">
        <v>61</v>
      </c>
      <c r="D130" s="39">
        <v>15.19</v>
      </c>
      <c r="E130" s="39" t="s">
        <v>62</v>
      </c>
    </row>
    <row r="131" spans="1:5" x14ac:dyDescent="0.2">
      <c r="A131" s="39" t="s">
        <v>66</v>
      </c>
      <c r="B131" s="39" t="s">
        <v>63</v>
      </c>
      <c r="C131" s="39" t="s">
        <v>61</v>
      </c>
      <c r="D131" s="39">
        <v>24.65</v>
      </c>
      <c r="E131" s="39" t="s">
        <v>62</v>
      </c>
    </row>
    <row r="132" spans="1:5" x14ac:dyDescent="0.2">
      <c r="A132" s="39" t="s">
        <v>66</v>
      </c>
      <c r="B132" s="39" t="s">
        <v>63</v>
      </c>
      <c r="C132" s="39" t="s">
        <v>64</v>
      </c>
      <c r="D132" s="39">
        <v>24.88</v>
      </c>
      <c r="E132" s="39" t="s">
        <v>62</v>
      </c>
    </row>
    <row r="133" spans="1:5" x14ac:dyDescent="0.2">
      <c r="A133" s="39" t="s">
        <v>66</v>
      </c>
      <c r="B133" s="39" t="s">
        <v>60</v>
      </c>
      <c r="C133" s="39" t="s">
        <v>64</v>
      </c>
      <c r="D133" s="39">
        <v>21.39</v>
      </c>
      <c r="E133" s="39" t="s">
        <v>62</v>
      </c>
    </row>
    <row r="134" spans="1:5" x14ac:dyDescent="0.2">
      <c r="A134" s="39" t="s">
        <v>66</v>
      </c>
      <c r="B134" s="39" t="s">
        <v>60</v>
      </c>
      <c r="C134" s="39" t="s">
        <v>61</v>
      </c>
      <c r="D134" s="39">
        <v>15.72</v>
      </c>
      <c r="E134" s="39" t="s">
        <v>62</v>
      </c>
    </row>
    <row r="135" spans="1:5" x14ac:dyDescent="0.2">
      <c r="A135" s="39" t="s">
        <v>66</v>
      </c>
      <c r="B135" s="39" t="s">
        <v>63</v>
      </c>
      <c r="C135" s="39" t="s">
        <v>64</v>
      </c>
      <c r="D135" s="39">
        <v>16.09</v>
      </c>
      <c r="E135" s="39" t="s">
        <v>62</v>
      </c>
    </row>
    <row r="136" spans="1:5" x14ac:dyDescent="0.2">
      <c r="A136" s="39" t="s">
        <v>66</v>
      </c>
      <c r="B136" s="39" t="s">
        <v>60</v>
      </c>
      <c r="C136" s="39" t="s">
        <v>61</v>
      </c>
      <c r="D136" s="39">
        <v>23.51</v>
      </c>
      <c r="E136" s="39" t="s">
        <v>62</v>
      </c>
    </row>
    <row r="137" spans="1:5" x14ac:dyDescent="0.2">
      <c r="A137" s="39" t="s">
        <v>66</v>
      </c>
      <c r="B137" s="39" t="s">
        <v>60</v>
      </c>
      <c r="C137" s="39" t="s">
        <v>61</v>
      </c>
      <c r="D137" s="39">
        <v>190.81</v>
      </c>
      <c r="E137" s="39" t="s">
        <v>62</v>
      </c>
    </row>
    <row r="138" spans="1:5" x14ac:dyDescent="0.2">
      <c r="A138" s="39" t="s">
        <v>66</v>
      </c>
      <c r="B138" s="39" t="s">
        <v>63</v>
      </c>
      <c r="C138" s="39" t="s">
        <v>61</v>
      </c>
      <c r="D138" s="39">
        <v>21.12</v>
      </c>
      <c r="E138" s="39" t="s">
        <v>62</v>
      </c>
    </row>
    <row r="139" spans="1:5" x14ac:dyDescent="0.2">
      <c r="A139" s="39" t="s">
        <v>66</v>
      </c>
      <c r="B139" s="39" t="s">
        <v>63</v>
      </c>
      <c r="C139" s="39" t="s">
        <v>61</v>
      </c>
      <c r="D139" s="39">
        <v>19.649999999999999</v>
      </c>
      <c r="E139" s="39" t="s">
        <v>62</v>
      </c>
    </row>
    <row r="140" spans="1:5" x14ac:dyDescent="0.2">
      <c r="A140" s="39" t="s">
        <v>66</v>
      </c>
      <c r="B140" s="39" t="s">
        <v>63</v>
      </c>
      <c r="C140" s="39" t="s">
        <v>61</v>
      </c>
      <c r="D140" s="39">
        <v>19.88</v>
      </c>
      <c r="E140" s="39" t="s">
        <v>62</v>
      </c>
    </row>
    <row r="141" spans="1:5" x14ac:dyDescent="0.2">
      <c r="A141" s="39" t="s">
        <v>66</v>
      </c>
      <c r="B141" s="39" t="s">
        <v>63</v>
      </c>
      <c r="C141" s="39" t="s">
        <v>61</v>
      </c>
      <c r="D141" s="39">
        <v>15.08</v>
      </c>
      <c r="E141" s="39" t="s">
        <v>62</v>
      </c>
    </row>
    <row r="142" spans="1:5" x14ac:dyDescent="0.2">
      <c r="A142" s="39" t="s">
        <v>66</v>
      </c>
      <c r="B142" s="39" t="s">
        <v>63</v>
      </c>
      <c r="C142" s="39" t="s">
        <v>61</v>
      </c>
      <c r="D142" s="39">
        <v>17.52</v>
      </c>
      <c r="E142" s="39" t="s">
        <v>62</v>
      </c>
    </row>
    <row r="143" spans="1:5" x14ac:dyDescent="0.2">
      <c r="A143" s="39" t="s">
        <v>66</v>
      </c>
      <c r="B143" s="39" t="s">
        <v>60</v>
      </c>
      <c r="C143" s="39" t="s">
        <v>64</v>
      </c>
      <c r="D143" s="39">
        <v>15.66</v>
      </c>
      <c r="E143" s="39" t="s">
        <v>62</v>
      </c>
    </row>
    <row r="144" spans="1:5" x14ac:dyDescent="0.2">
      <c r="A144" s="39" t="s">
        <v>66</v>
      </c>
      <c r="B144" s="39" t="s">
        <v>60</v>
      </c>
      <c r="C144" s="39" t="s">
        <v>61</v>
      </c>
      <c r="D144" s="39">
        <v>22.37</v>
      </c>
      <c r="E144" s="39" t="s">
        <v>62</v>
      </c>
    </row>
    <row r="145" spans="1:5" x14ac:dyDescent="0.2">
      <c r="A145" s="39" t="s">
        <v>66</v>
      </c>
      <c r="B145" s="39" t="s">
        <v>60</v>
      </c>
      <c r="C145" s="39" t="s">
        <v>64</v>
      </c>
      <c r="D145" s="39">
        <v>192.41</v>
      </c>
      <c r="E145" s="39" t="s">
        <v>62</v>
      </c>
    </row>
    <row r="146" spans="1:5" x14ac:dyDescent="0.2">
      <c r="A146" s="39" t="s">
        <v>66</v>
      </c>
      <c r="B146" s="39" t="s">
        <v>60</v>
      </c>
      <c r="C146" s="39" t="s">
        <v>61</v>
      </c>
      <c r="D146" s="39">
        <v>22.39</v>
      </c>
      <c r="E146" s="39" t="s">
        <v>62</v>
      </c>
    </row>
    <row r="147" spans="1:5" x14ac:dyDescent="0.2">
      <c r="A147" s="39" t="s">
        <v>66</v>
      </c>
      <c r="B147" s="39" t="s">
        <v>60</v>
      </c>
      <c r="C147" s="39" t="s">
        <v>61</v>
      </c>
      <c r="D147" s="39">
        <v>226.15</v>
      </c>
      <c r="E147" s="39" t="s">
        <v>62</v>
      </c>
    </row>
    <row r="148" spans="1:5" x14ac:dyDescent="0.2">
      <c r="A148" s="39" t="s">
        <v>66</v>
      </c>
      <c r="B148" s="39" t="s">
        <v>63</v>
      </c>
      <c r="C148" s="39" t="s">
        <v>61</v>
      </c>
      <c r="D148" s="39">
        <v>20.67</v>
      </c>
      <c r="E148" s="39" t="s">
        <v>62</v>
      </c>
    </row>
    <row r="149" spans="1:5" x14ac:dyDescent="0.2">
      <c r="A149" s="39" t="s">
        <v>66</v>
      </c>
      <c r="B149" s="39" t="s">
        <v>60</v>
      </c>
      <c r="C149" s="39" t="s">
        <v>61</v>
      </c>
      <c r="D149" s="39">
        <v>19.190000000000001</v>
      </c>
      <c r="E149" s="39" t="s">
        <v>62</v>
      </c>
    </row>
    <row r="150" spans="1:5" x14ac:dyDescent="0.2">
      <c r="A150" s="39" t="s">
        <v>66</v>
      </c>
      <c r="B150" s="39" t="s">
        <v>60</v>
      </c>
      <c r="C150" s="39" t="s">
        <v>61</v>
      </c>
      <c r="D150" s="39">
        <v>16.059999999999999</v>
      </c>
      <c r="E150" s="39" t="s">
        <v>62</v>
      </c>
    </row>
    <row r="151" spans="1:5" x14ac:dyDescent="0.2">
      <c r="A151" s="39" t="s">
        <v>66</v>
      </c>
      <c r="B151" s="39" t="s">
        <v>60</v>
      </c>
      <c r="C151" s="39" t="s">
        <v>61</v>
      </c>
      <c r="D151" s="39">
        <v>23.59</v>
      </c>
      <c r="E151" s="39" t="s">
        <v>62</v>
      </c>
    </row>
    <row r="152" spans="1:5" x14ac:dyDescent="0.2">
      <c r="A152" s="39" t="s">
        <v>66</v>
      </c>
      <c r="B152" s="39" t="s">
        <v>63</v>
      </c>
      <c r="C152" s="39" t="s">
        <v>64</v>
      </c>
      <c r="D152" s="39">
        <v>20.420000000000002</v>
      </c>
      <c r="E152" s="39" t="s">
        <v>62</v>
      </c>
    </row>
    <row r="153" spans="1:5" x14ac:dyDescent="0.2">
      <c r="A153" s="39" t="s">
        <v>66</v>
      </c>
      <c r="B153" s="39" t="s">
        <v>60</v>
      </c>
      <c r="C153" s="39" t="s">
        <v>61</v>
      </c>
      <c r="D153" s="39">
        <v>161.46</v>
      </c>
      <c r="E153" s="39" t="s">
        <v>62</v>
      </c>
    </row>
    <row r="154" spans="1:5" x14ac:dyDescent="0.2">
      <c r="A154" s="39" t="s">
        <v>66</v>
      </c>
      <c r="B154" s="39" t="s">
        <v>63</v>
      </c>
      <c r="C154" s="39" t="s">
        <v>61</v>
      </c>
      <c r="D154" s="39">
        <v>210.38</v>
      </c>
      <c r="E154" s="39" t="s">
        <v>62</v>
      </c>
    </row>
    <row r="155" spans="1:5" x14ac:dyDescent="0.2">
      <c r="A155" s="39" t="s">
        <v>66</v>
      </c>
      <c r="B155" s="39" t="s">
        <v>63</v>
      </c>
      <c r="C155" s="39" t="s">
        <v>64</v>
      </c>
      <c r="D155" s="39">
        <v>161.5</v>
      </c>
      <c r="E155" s="39" t="s">
        <v>62</v>
      </c>
    </row>
    <row r="156" spans="1:5" x14ac:dyDescent="0.2">
      <c r="A156" s="39" t="s">
        <v>66</v>
      </c>
      <c r="B156" s="39" t="s">
        <v>63</v>
      </c>
      <c r="C156" s="39" t="s">
        <v>61</v>
      </c>
      <c r="D156" s="39">
        <v>21.67</v>
      </c>
      <c r="E156" s="39" t="s">
        <v>62</v>
      </c>
    </row>
    <row r="157" spans="1:5" x14ac:dyDescent="0.2">
      <c r="A157" s="39" t="s">
        <v>66</v>
      </c>
      <c r="B157" s="39" t="s">
        <v>63</v>
      </c>
      <c r="C157" s="39" t="s">
        <v>64</v>
      </c>
      <c r="D157" s="39">
        <v>22.04</v>
      </c>
      <c r="E157" s="39" t="s">
        <v>62</v>
      </c>
    </row>
    <row r="158" spans="1:5" x14ac:dyDescent="0.2">
      <c r="A158" s="39" t="s">
        <v>66</v>
      </c>
      <c r="B158" s="39" t="s">
        <v>60</v>
      </c>
      <c r="C158" s="39" t="s">
        <v>61</v>
      </c>
      <c r="D158" s="39">
        <v>17.809999999999999</v>
      </c>
      <c r="E158" s="39" t="s">
        <v>62</v>
      </c>
    </row>
    <row r="159" spans="1:5" x14ac:dyDescent="0.2">
      <c r="A159" s="39" t="s">
        <v>66</v>
      </c>
      <c r="B159" s="39" t="s">
        <v>60</v>
      </c>
      <c r="C159" s="39" t="s">
        <v>61</v>
      </c>
      <c r="D159" s="39">
        <v>22.55</v>
      </c>
      <c r="E159" s="39" t="s">
        <v>62</v>
      </c>
    </row>
    <row r="160" spans="1:5" x14ac:dyDescent="0.2">
      <c r="A160" s="39" t="s">
        <v>66</v>
      </c>
      <c r="B160" s="39" t="s">
        <v>60</v>
      </c>
      <c r="C160" s="39" t="s">
        <v>61</v>
      </c>
      <c r="D160" s="39">
        <v>241.65</v>
      </c>
      <c r="E160" s="39" t="s">
        <v>62</v>
      </c>
    </row>
    <row r="161" spans="1:5" x14ac:dyDescent="0.2">
      <c r="A161" s="39" t="s">
        <v>66</v>
      </c>
      <c r="B161" s="39" t="s">
        <v>63</v>
      </c>
      <c r="C161" s="39" t="s">
        <v>64</v>
      </c>
      <c r="D161" s="39">
        <v>242.4</v>
      </c>
      <c r="E161" s="39" t="s">
        <v>62</v>
      </c>
    </row>
    <row r="162" spans="1:5" x14ac:dyDescent="0.2">
      <c r="A162" s="39" t="s">
        <v>66</v>
      </c>
      <c r="B162" s="39" t="s">
        <v>60</v>
      </c>
      <c r="C162" s="39" t="s">
        <v>61</v>
      </c>
      <c r="D162" s="39">
        <v>18.73</v>
      </c>
      <c r="E162" s="39" t="s">
        <v>62</v>
      </c>
    </row>
    <row r="163" spans="1:5" x14ac:dyDescent="0.2">
      <c r="A163" s="39" t="s">
        <v>66</v>
      </c>
      <c r="B163" s="39" t="s">
        <v>63</v>
      </c>
      <c r="C163" s="39" t="s">
        <v>61</v>
      </c>
      <c r="D163" s="39">
        <v>17.239999999999998</v>
      </c>
      <c r="E163" s="39" t="s">
        <v>62</v>
      </c>
    </row>
    <row r="164" spans="1:5" x14ac:dyDescent="0.2">
      <c r="A164" s="39" t="s">
        <v>66</v>
      </c>
      <c r="B164" s="39" t="s">
        <v>63</v>
      </c>
      <c r="C164" s="39" t="s">
        <v>64</v>
      </c>
      <c r="D164" s="39">
        <v>20.28</v>
      </c>
      <c r="E164" s="39" t="s">
        <v>62</v>
      </c>
    </row>
    <row r="165" spans="1:5" x14ac:dyDescent="0.2">
      <c r="A165" s="39" t="s">
        <v>66</v>
      </c>
      <c r="B165" s="39" t="s">
        <v>63</v>
      </c>
      <c r="C165" s="39" t="s">
        <v>61</v>
      </c>
      <c r="D165" s="39">
        <v>21.18</v>
      </c>
      <c r="E165" s="39" t="s">
        <v>62</v>
      </c>
    </row>
    <row r="166" spans="1:5" x14ac:dyDescent="0.2">
      <c r="A166" s="39" t="s">
        <v>66</v>
      </c>
      <c r="B166" s="39" t="s">
        <v>60</v>
      </c>
      <c r="C166" s="39" t="s">
        <v>61</v>
      </c>
      <c r="D166" s="39">
        <v>15.86</v>
      </c>
      <c r="E166" s="39" t="s">
        <v>62</v>
      </c>
    </row>
    <row r="167" spans="1:5" x14ac:dyDescent="0.2">
      <c r="A167" s="39" t="s">
        <v>66</v>
      </c>
      <c r="B167" s="39" t="s">
        <v>60</v>
      </c>
      <c r="C167" s="39" t="s">
        <v>61</v>
      </c>
      <c r="D167" s="39">
        <v>24.42</v>
      </c>
      <c r="E167" s="39" t="s">
        <v>62</v>
      </c>
    </row>
    <row r="168" spans="1:5" x14ac:dyDescent="0.2">
      <c r="A168" s="39" t="s">
        <v>66</v>
      </c>
      <c r="B168" s="39" t="s">
        <v>60</v>
      </c>
      <c r="C168" s="39" t="s">
        <v>64</v>
      </c>
      <c r="D168" s="39">
        <v>24.71</v>
      </c>
      <c r="E168" s="39" t="s">
        <v>62</v>
      </c>
    </row>
    <row r="169" spans="1:5" x14ac:dyDescent="0.2">
      <c r="A169" s="39" t="s">
        <v>66</v>
      </c>
      <c r="B169" s="39" t="s">
        <v>63</v>
      </c>
      <c r="C169" s="39" t="s">
        <v>61</v>
      </c>
      <c r="D169" s="39">
        <v>15.4</v>
      </c>
      <c r="E169" s="39" t="s">
        <v>62</v>
      </c>
    </row>
    <row r="170" spans="1:5" x14ac:dyDescent="0.2">
      <c r="A170" s="39" t="s">
        <v>66</v>
      </c>
      <c r="B170" s="39" t="s">
        <v>63</v>
      </c>
      <c r="C170" s="39" t="s">
        <v>61</v>
      </c>
      <c r="D170" s="39">
        <v>19.95</v>
      </c>
      <c r="E170" s="39" t="s">
        <v>62</v>
      </c>
    </row>
    <row r="171" spans="1:5" x14ac:dyDescent="0.2">
      <c r="A171" s="39" t="s">
        <v>66</v>
      </c>
      <c r="B171" s="39" t="s">
        <v>60</v>
      </c>
      <c r="C171" s="39" t="s">
        <v>61</v>
      </c>
      <c r="D171" s="39">
        <v>231.23</v>
      </c>
      <c r="E171" s="39" t="s">
        <v>62</v>
      </c>
    </row>
    <row r="172" spans="1:5" x14ac:dyDescent="0.2">
      <c r="A172" s="39" t="s">
        <v>66</v>
      </c>
      <c r="B172" s="39" t="s">
        <v>60</v>
      </c>
      <c r="C172" s="39" t="s">
        <v>61</v>
      </c>
      <c r="D172" s="39">
        <v>21.83</v>
      </c>
      <c r="E172" s="39" t="s">
        <v>62</v>
      </c>
    </row>
    <row r="173" spans="1:5" x14ac:dyDescent="0.2">
      <c r="A173" s="39" t="s">
        <v>66</v>
      </c>
      <c r="B173" s="39" t="s">
        <v>63</v>
      </c>
      <c r="C173" s="39" t="s">
        <v>61</v>
      </c>
      <c r="D173" s="39">
        <v>18.350000000000001</v>
      </c>
      <c r="E173" s="39" t="s">
        <v>62</v>
      </c>
    </row>
    <row r="174" spans="1:5" x14ac:dyDescent="0.2">
      <c r="A174" s="39" t="s">
        <v>66</v>
      </c>
      <c r="B174" s="39" t="s">
        <v>60</v>
      </c>
      <c r="C174" s="39" t="s">
        <v>64</v>
      </c>
      <c r="D174" s="39">
        <v>22.92</v>
      </c>
      <c r="E174" s="39" t="s">
        <v>62</v>
      </c>
    </row>
    <row r="175" spans="1:5" x14ac:dyDescent="0.2">
      <c r="A175" s="39" t="s">
        <v>66</v>
      </c>
      <c r="B175" s="39" t="s">
        <v>63</v>
      </c>
      <c r="C175" s="39" t="s">
        <v>64</v>
      </c>
      <c r="D175" s="39">
        <v>19.09</v>
      </c>
      <c r="E175" s="39" t="s">
        <v>62</v>
      </c>
    </row>
    <row r="176" spans="1:5" x14ac:dyDescent="0.2">
      <c r="A176" s="39" t="s">
        <v>66</v>
      </c>
      <c r="B176" s="39" t="s">
        <v>63</v>
      </c>
      <c r="C176" s="39" t="s">
        <v>61</v>
      </c>
      <c r="D176" s="39">
        <v>20.079999999999998</v>
      </c>
      <c r="E176" s="39" t="s">
        <v>62</v>
      </c>
    </row>
    <row r="177" spans="1:5" x14ac:dyDescent="0.2">
      <c r="A177" s="39" t="s">
        <v>66</v>
      </c>
      <c r="B177" s="39" t="s">
        <v>60</v>
      </c>
      <c r="C177" s="39" t="s">
        <v>64</v>
      </c>
      <c r="D177" s="39">
        <v>24.54</v>
      </c>
      <c r="E177" s="39" t="s">
        <v>62</v>
      </c>
    </row>
    <row r="178" spans="1:5" x14ac:dyDescent="0.2">
      <c r="A178" s="39" t="s">
        <v>66</v>
      </c>
      <c r="B178" s="39" t="s">
        <v>63</v>
      </c>
      <c r="C178" s="39" t="s">
        <v>61</v>
      </c>
      <c r="D178" s="39">
        <v>24.81</v>
      </c>
      <c r="E178" s="39" t="s">
        <v>62</v>
      </c>
    </row>
    <row r="179" spans="1:5" x14ac:dyDescent="0.2">
      <c r="A179" s="39" t="s">
        <v>66</v>
      </c>
      <c r="B179" s="39" t="s">
        <v>63</v>
      </c>
      <c r="C179" s="39" t="s">
        <v>61</v>
      </c>
      <c r="D179" s="39">
        <v>17.68</v>
      </c>
      <c r="E179" s="39" t="s">
        <v>62</v>
      </c>
    </row>
    <row r="180" spans="1:5" x14ac:dyDescent="0.2">
      <c r="A180" s="39" t="s">
        <v>66</v>
      </c>
      <c r="B180" s="39" t="s">
        <v>60</v>
      </c>
      <c r="C180" s="39" t="s">
        <v>64</v>
      </c>
      <c r="D180" s="39">
        <v>177.3</v>
      </c>
      <c r="E180" s="39" t="s">
        <v>62</v>
      </c>
    </row>
    <row r="181" spans="1:5" x14ac:dyDescent="0.2">
      <c r="A181" s="39" t="s">
        <v>66</v>
      </c>
      <c r="B181" s="39" t="s">
        <v>63</v>
      </c>
      <c r="C181" s="39" t="s">
        <v>64</v>
      </c>
      <c r="D181" s="39">
        <v>15.54</v>
      </c>
      <c r="E181" s="39" t="s">
        <v>62</v>
      </c>
    </row>
    <row r="182" spans="1:5" x14ac:dyDescent="0.2">
      <c r="A182" s="39" t="s">
        <v>66</v>
      </c>
      <c r="B182" s="39" t="s">
        <v>63</v>
      </c>
      <c r="C182" s="39" t="s">
        <v>61</v>
      </c>
      <c r="D182" s="39">
        <v>17.39</v>
      </c>
      <c r="E182" s="39" t="s">
        <v>62</v>
      </c>
    </row>
    <row r="183" spans="1:5" x14ac:dyDescent="0.2">
      <c r="A183" s="39" t="s">
        <v>66</v>
      </c>
      <c r="B183" s="39" t="s">
        <v>63</v>
      </c>
      <c r="C183" s="39" t="s">
        <v>61</v>
      </c>
      <c r="D183" s="39">
        <v>18.27</v>
      </c>
      <c r="E183" s="39" t="s">
        <v>62</v>
      </c>
    </row>
    <row r="184" spans="1:5" x14ac:dyDescent="0.2">
      <c r="A184" s="39" t="s">
        <v>66</v>
      </c>
      <c r="B184" s="39" t="s">
        <v>60</v>
      </c>
      <c r="C184" s="39" t="s">
        <v>61</v>
      </c>
      <c r="D184" s="39">
        <v>23.75</v>
      </c>
      <c r="E184" s="39" t="s">
        <v>62</v>
      </c>
    </row>
    <row r="185" spans="1:5" x14ac:dyDescent="0.2">
      <c r="A185" s="39" t="s">
        <v>66</v>
      </c>
      <c r="B185" s="39" t="s">
        <v>60</v>
      </c>
      <c r="C185" s="39" t="s">
        <v>61</v>
      </c>
      <c r="D185" s="39">
        <v>20.32</v>
      </c>
      <c r="E185" s="39" t="s">
        <v>62</v>
      </c>
    </row>
    <row r="186" spans="1:5" x14ac:dyDescent="0.2">
      <c r="A186" s="39" t="s">
        <v>66</v>
      </c>
      <c r="B186" s="39" t="s">
        <v>63</v>
      </c>
      <c r="C186" s="39" t="s">
        <v>61</v>
      </c>
      <c r="D186" s="39">
        <v>20.16</v>
      </c>
      <c r="E186" s="39" t="s">
        <v>62</v>
      </c>
    </row>
    <row r="187" spans="1:5" x14ac:dyDescent="0.2">
      <c r="A187" s="39" t="s">
        <v>66</v>
      </c>
      <c r="B187" s="39" t="s">
        <v>60</v>
      </c>
      <c r="C187" s="39" t="s">
        <v>61</v>
      </c>
      <c r="D187" s="39">
        <v>16.79</v>
      </c>
      <c r="E187" s="39" t="s">
        <v>62</v>
      </c>
    </row>
    <row r="188" spans="1:5" x14ac:dyDescent="0.2">
      <c r="A188" s="39" t="s">
        <v>66</v>
      </c>
      <c r="B188" s="39" t="s">
        <v>60</v>
      </c>
      <c r="C188" s="39" t="s">
        <v>61</v>
      </c>
      <c r="D188" s="39">
        <v>22.79</v>
      </c>
      <c r="E188" s="39" t="s">
        <v>62</v>
      </c>
    </row>
    <row r="189" spans="1:5" x14ac:dyDescent="0.2">
      <c r="A189" s="39" t="s">
        <v>66</v>
      </c>
      <c r="B189" s="39" t="s">
        <v>60</v>
      </c>
      <c r="C189" s="39" t="s">
        <v>64</v>
      </c>
      <c r="D189" s="39">
        <v>18.739999999999998</v>
      </c>
      <c r="E189" s="39" t="s">
        <v>62</v>
      </c>
    </row>
    <row r="190" spans="1:5" x14ac:dyDescent="0.2">
      <c r="A190" s="39" t="s">
        <v>66</v>
      </c>
      <c r="B190" s="39" t="s">
        <v>60</v>
      </c>
      <c r="C190" s="39" t="s">
        <v>61</v>
      </c>
      <c r="D190" s="39">
        <v>24.66</v>
      </c>
      <c r="E190" s="39" t="s">
        <v>62</v>
      </c>
    </row>
    <row r="191" spans="1:5" x14ac:dyDescent="0.2">
      <c r="A191" s="39" t="s">
        <v>66</v>
      </c>
      <c r="B191" s="39" t="s">
        <v>60</v>
      </c>
      <c r="C191" s="39" t="s">
        <v>61</v>
      </c>
      <c r="D191" s="39">
        <v>18.190000000000001</v>
      </c>
      <c r="E191" s="39" t="s">
        <v>62</v>
      </c>
    </row>
    <row r="192" spans="1:5" x14ac:dyDescent="0.2">
      <c r="A192" s="39" t="s">
        <v>66</v>
      </c>
      <c r="B192" s="39" t="s">
        <v>60</v>
      </c>
      <c r="C192" s="39" t="s">
        <v>61</v>
      </c>
      <c r="D192" s="39">
        <v>24.84</v>
      </c>
      <c r="E192" s="39" t="s">
        <v>62</v>
      </c>
    </row>
    <row r="193" spans="1:5" x14ac:dyDescent="0.2">
      <c r="A193" s="39" t="s">
        <v>66</v>
      </c>
      <c r="B193" s="39" t="s">
        <v>60</v>
      </c>
      <c r="C193" s="39" t="s">
        <v>64</v>
      </c>
      <c r="D193" s="39">
        <v>16.649999999999999</v>
      </c>
      <c r="E193" s="39" t="s">
        <v>62</v>
      </c>
    </row>
    <row r="194" spans="1:5" x14ac:dyDescent="0.2">
      <c r="A194" s="39" t="s">
        <v>66</v>
      </c>
      <c r="B194" s="39" t="s">
        <v>60</v>
      </c>
      <c r="C194" s="39" t="s">
        <v>61</v>
      </c>
      <c r="D194" s="39">
        <v>21.1</v>
      </c>
      <c r="E194" s="39" t="s">
        <v>62</v>
      </c>
    </row>
    <row r="195" spans="1:5" x14ac:dyDescent="0.2">
      <c r="A195" s="39" t="s">
        <v>66</v>
      </c>
      <c r="B195" s="39" t="s">
        <v>63</v>
      </c>
      <c r="C195" s="39" t="s">
        <v>61</v>
      </c>
      <c r="D195" s="39">
        <v>16.989999999999998</v>
      </c>
      <c r="E195" s="39" t="s">
        <v>62</v>
      </c>
    </row>
    <row r="196" spans="1:5" x14ac:dyDescent="0.2">
      <c r="A196" s="39" t="s">
        <v>66</v>
      </c>
      <c r="B196" s="39" t="s">
        <v>63</v>
      </c>
      <c r="C196" s="39" t="s">
        <v>64</v>
      </c>
      <c r="D196" s="39">
        <v>23.96</v>
      </c>
      <c r="E196" s="39" t="s">
        <v>62</v>
      </c>
    </row>
    <row r="197" spans="1:5" x14ac:dyDescent="0.2">
      <c r="A197" s="39" t="s">
        <v>66</v>
      </c>
      <c r="B197" s="39" t="s">
        <v>60</v>
      </c>
      <c r="C197" s="39" t="s">
        <v>61</v>
      </c>
      <c r="D197" s="39">
        <v>17.760000000000002</v>
      </c>
      <c r="E197" s="39" t="s">
        <v>62</v>
      </c>
    </row>
    <row r="198" spans="1:5" x14ac:dyDescent="0.2">
      <c r="A198" s="39" t="s">
        <v>66</v>
      </c>
      <c r="B198" s="39" t="s">
        <v>63</v>
      </c>
      <c r="C198" s="39" t="s">
        <v>61</v>
      </c>
      <c r="D198" s="39">
        <v>18.87</v>
      </c>
      <c r="E198" s="39" t="s">
        <v>62</v>
      </c>
    </row>
    <row r="199" spans="1:5" x14ac:dyDescent="0.2">
      <c r="A199" s="39" t="s">
        <v>66</v>
      </c>
      <c r="B199" s="39" t="s">
        <v>60</v>
      </c>
      <c r="C199" s="39" t="s">
        <v>64</v>
      </c>
      <c r="D199" s="39">
        <v>21.47</v>
      </c>
      <c r="E199" s="39" t="s">
        <v>62</v>
      </c>
    </row>
    <row r="200" spans="1:5" x14ac:dyDescent="0.2">
      <c r="A200" s="39" t="s">
        <v>66</v>
      </c>
      <c r="B200" s="39" t="s">
        <v>60</v>
      </c>
      <c r="C200" s="39" t="s">
        <v>61</v>
      </c>
      <c r="D200" s="39">
        <v>218.6</v>
      </c>
      <c r="E200" s="39" t="s">
        <v>62</v>
      </c>
    </row>
    <row r="201" spans="1:5" x14ac:dyDescent="0.2">
      <c r="A201" s="39" t="s">
        <v>66</v>
      </c>
      <c r="B201" s="39" t="s">
        <v>60</v>
      </c>
      <c r="C201" s="39" t="s">
        <v>61</v>
      </c>
      <c r="D201" s="39">
        <v>17.010000000000002</v>
      </c>
      <c r="E201" s="39" t="s">
        <v>62</v>
      </c>
    </row>
    <row r="202" spans="1:5" x14ac:dyDescent="0.2">
      <c r="A202" s="39" t="s">
        <v>66</v>
      </c>
      <c r="B202" s="39" t="s">
        <v>60</v>
      </c>
      <c r="C202" s="39" t="s">
        <v>61</v>
      </c>
      <c r="D202" s="39">
        <v>247.14</v>
      </c>
      <c r="E202" s="39" t="s">
        <v>62</v>
      </c>
    </row>
    <row r="203" spans="1:5" x14ac:dyDescent="0.2">
      <c r="A203" s="39" t="s">
        <v>66</v>
      </c>
      <c r="B203" s="39" t="s">
        <v>60</v>
      </c>
      <c r="C203" s="39" t="s">
        <v>64</v>
      </c>
      <c r="D203" s="39">
        <v>168.1</v>
      </c>
      <c r="E203" s="39" t="s">
        <v>62</v>
      </c>
    </row>
    <row r="204" spans="1:5" x14ac:dyDescent="0.2">
      <c r="A204" s="39" t="s">
        <v>66</v>
      </c>
      <c r="B204" s="39" t="s">
        <v>60</v>
      </c>
      <c r="C204" s="39" t="s">
        <v>61</v>
      </c>
      <c r="D204" s="39">
        <v>16.829999999999998</v>
      </c>
      <c r="E204" s="39" t="s">
        <v>62</v>
      </c>
    </row>
    <row r="205" spans="1:5" x14ac:dyDescent="0.2">
      <c r="A205" s="39" t="s">
        <v>66</v>
      </c>
      <c r="B205" s="39" t="s">
        <v>60</v>
      </c>
      <c r="C205" s="39" t="s">
        <v>61</v>
      </c>
      <c r="D205" s="39">
        <v>17.850000000000001</v>
      </c>
      <c r="E205" s="39" t="s">
        <v>65</v>
      </c>
    </row>
    <row r="206" spans="1:5" x14ac:dyDescent="0.2">
      <c r="A206" s="39" t="s">
        <v>66</v>
      </c>
      <c r="B206" s="39" t="s">
        <v>63</v>
      </c>
      <c r="C206" s="39" t="s">
        <v>64</v>
      </c>
      <c r="D206" s="39">
        <v>17.3</v>
      </c>
      <c r="E206" s="39" t="s">
        <v>65</v>
      </c>
    </row>
    <row r="207" spans="1:5" x14ac:dyDescent="0.2">
      <c r="A207" s="39" t="s">
        <v>66</v>
      </c>
      <c r="B207" s="39" t="s">
        <v>63</v>
      </c>
      <c r="C207" s="39" t="s">
        <v>61</v>
      </c>
      <c r="D207" s="39">
        <v>15.92</v>
      </c>
      <c r="E207" s="39" t="s">
        <v>65</v>
      </c>
    </row>
    <row r="208" spans="1:5" x14ac:dyDescent="0.2">
      <c r="A208" s="39" t="s">
        <v>66</v>
      </c>
      <c r="B208" s="39" t="s">
        <v>60</v>
      </c>
      <c r="C208" s="39" t="s">
        <v>61</v>
      </c>
      <c r="D208" s="39">
        <v>21.01</v>
      </c>
      <c r="E208" s="39" t="s">
        <v>65</v>
      </c>
    </row>
    <row r="209" spans="1:5" x14ac:dyDescent="0.2">
      <c r="A209" s="39" t="s">
        <v>66</v>
      </c>
      <c r="B209" s="39" t="s">
        <v>63</v>
      </c>
      <c r="C209" s="39" t="s">
        <v>61</v>
      </c>
      <c r="D209" s="39">
        <v>22.91</v>
      </c>
      <c r="E209" s="39" t="s">
        <v>65</v>
      </c>
    </row>
    <row r="210" spans="1:5" x14ac:dyDescent="0.2">
      <c r="A210" s="39" t="s">
        <v>66</v>
      </c>
      <c r="B210" s="39" t="s">
        <v>60</v>
      </c>
      <c r="C210" s="39" t="s">
        <v>61</v>
      </c>
      <c r="D210" s="39">
        <v>17.53</v>
      </c>
      <c r="E210" s="39" t="s">
        <v>65</v>
      </c>
    </row>
    <row r="211" spans="1:5" x14ac:dyDescent="0.2">
      <c r="A211" s="39" t="s">
        <v>66</v>
      </c>
      <c r="B211" s="39" t="s">
        <v>60</v>
      </c>
      <c r="C211" s="39" t="s">
        <v>61</v>
      </c>
      <c r="D211" s="39">
        <v>17.739999999999998</v>
      </c>
      <c r="E211" s="39" t="s">
        <v>65</v>
      </c>
    </row>
    <row r="212" spans="1:5" x14ac:dyDescent="0.2">
      <c r="A212" s="39" t="s">
        <v>66</v>
      </c>
      <c r="B212" s="39" t="s">
        <v>60</v>
      </c>
      <c r="C212" s="39" t="s">
        <v>61</v>
      </c>
      <c r="D212" s="39">
        <v>20.04</v>
      </c>
      <c r="E212" s="39" t="s">
        <v>65</v>
      </c>
    </row>
    <row r="213" spans="1:5" x14ac:dyDescent="0.2">
      <c r="A213" s="39" t="s">
        <v>66</v>
      </c>
      <c r="B213" s="39" t="s">
        <v>63</v>
      </c>
      <c r="C213" s="39" t="s">
        <v>64</v>
      </c>
      <c r="D213" s="39">
        <v>23.21</v>
      </c>
      <c r="E213" s="39" t="s">
        <v>65</v>
      </c>
    </row>
    <row r="214" spans="1:5" x14ac:dyDescent="0.2">
      <c r="A214" s="39" t="s">
        <v>66</v>
      </c>
      <c r="B214" s="39" t="s">
        <v>60</v>
      </c>
      <c r="C214" s="39" t="s">
        <v>64</v>
      </c>
      <c r="D214" s="39">
        <v>22.79</v>
      </c>
      <c r="E214" s="39" t="s">
        <v>65</v>
      </c>
    </row>
    <row r="215" spans="1:5" x14ac:dyDescent="0.2">
      <c r="A215" s="39" t="s">
        <v>66</v>
      </c>
      <c r="B215" s="39" t="s">
        <v>60</v>
      </c>
      <c r="C215" s="39" t="s">
        <v>61</v>
      </c>
      <c r="D215" s="39">
        <v>16.91</v>
      </c>
      <c r="E215" s="39" t="s">
        <v>65</v>
      </c>
    </row>
    <row r="216" spans="1:5" x14ac:dyDescent="0.2">
      <c r="A216" s="39" t="s">
        <v>66</v>
      </c>
      <c r="B216" s="39" t="s">
        <v>60</v>
      </c>
      <c r="C216" s="39" t="s">
        <v>61</v>
      </c>
      <c r="D216" s="39">
        <v>21.39</v>
      </c>
      <c r="E216" s="39" t="s">
        <v>65</v>
      </c>
    </row>
    <row r="217" spans="1:5" x14ac:dyDescent="0.2">
      <c r="A217" s="39" t="s">
        <v>66</v>
      </c>
      <c r="B217" s="39" t="s">
        <v>60</v>
      </c>
      <c r="C217" s="39" t="s">
        <v>61</v>
      </c>
      <c r="D217" s="39">
        <v>16.600000000000001</v>
      </c>
      <c r="E217" s="39" t="s">
        <v>65</v>
      </c>
    </row>
    <row r="218" spans="1:5" x14ac:dyDescent="0.2">
      <c r="A218" s="39" t="s">
        <v>66</v>
      </c>
      <c r="B218" s="39" t="s">
        <v>60</v>
      </c>
      <c r="C218" s="39" t="s">
        <v>61</v>
      </c>
      <c r="D218" s="39">
        <v>20.82</v>
      </c>
      <c r="E218" s="39" t="s">
        <v>65</v>
      </c>
    </row>
    <row r="219" spans="1:5" x14ac:dyDescent="0.2">
      <c r="A219" s="39" t="s">
        <v>66</v>
      </c>
      <c r="B219" s="39" t="s">
        <v>63</v>
      </c>
      <c r="C219" s="39" t="s">
        <v>64</v>
      </c>
      <c r="D219" s="39">
        <v>21.02</v>
      </c>
      <c r="E219" s="39" t="s">
        <v>65</v>
      </c>
    </row>
    <row r="220" spans="1:5" x14ac:dyDescent="0.2">
      <c r="A220" s="39" t="s">
        <v>66</v>
      </c>
      <c r="B220" s="39" t="s">
        <v>60</v>
      </c>
      <c r="C220" s="39" t="s">
        <v>61</v>
      </c>
      <c r="D220" s="39">
        <v>23.13</v>
      </c>
      <c r="E220" s="39" t="s">
        <v>65</v>
      </c>
    </row>
    <row r="221" spans="1:5" x14ac:dyDescent="0.2">
      <c r="A221" s="39" t="s">
        <v>66</v>
      </c>
      <c r="B221" s="39" t="s">
        <v>63</v>
      </c>
      <c r="C221" s="39" t="s">
        <v>61</v>
      </c>
      <c r="D221" s="39">
        <v>15.17</v>
      </c>
      <c r="E221" s="39" t="s">
        <v>65</v>
      </c>
    </row>
    <row r="222" spans="1:5" x14ac:dyDescent="0.2">
      <c r="A222" s="39" t="s">
        <v>66</v>
      </c>
      <c r="B222" s="39" t="s">
        <v>63</v>
      </c>
      <c r="C222" s="39" t="s">
        <v>64</v>
      </c>
      <c r="D222" s="39">
        <v>16.489999999999998</v>
      </c>
      <c r="E222" s="39" t="s">
        <v>65</v>
      </c>
    </row>
    <row r="223" spans="1:5" x14ac:dyDescent="0.2">
      <c r="A223" s="39" t="s">
        <v>66</v>
      </c>
      <c r="B223" s="39" t="s">
        <v>60</v>
      </c>
      <c r="C223" s="39" t="s">
        <v>61</v>
      </c>
      <c r="D223" s="39">
        <v>23.77</v>
      </c>
      <c r="E223" s="39" t="s">
        <v>65</v>
      </c>
    </row>
    <row r="224" spans="1:5" x14ac:dyDescent="0.2">
      <c r="A224" s="39" t="s">
        <v>66</v>
      </c>
      <c r="B224" s="39" t="s">
        <v>60</v>
      </c>
      <c r="C224" s="39" t="s">
        <v>64</v>
      </c>
      <c r="D224" s="39">
        <v>21.58</v>
      </c>
      <c r="E224" s="39" t="s">
        <v>65</v>
      </c>
    </row>
    <row r="225" spans="1:5" x14ac:dyDescent="0.2">
      <c r="A225" s="39" t="s">
        <v>66</v>
      </c>
      <c r="B225" s="39" t="s">
        <v>60</v>
      </c>
      <c r="C225" s="39" t="s">
        <v>64</v>
      </c>
      <c r="D225" s="39">
        <v>18.2</v>
      </c>
      <c r="E225" s="39" t="s">
        <v>65</v>
      </c>
    </row>
    <row r="226" spans="1:5" x14ac:dyDescent="0.2">
      <c r="A226" s="39" t="s">
        <v>66</v>
      </c>
      <c r="B226" s="39" t="s">
        <v>63</v>
      </c>
      <c r="C226" s="39" t="s">
        <v>61</v>
      </c>
      <c r="D226" s="39">
        <v>20.260000000000002</v>
      </c>
      <c r="E226" s="39" t="s">
        <v>65</v>
      </c>
    </row>
    <row r="227" spans="1:5" x14ac:dyDescent="0.2">
      <c r="A227" s="39" t="s">
        <v>66</v>
      </c>
      <c r="B227" s="39" t="s">
        <v>63</v>
      </c>
      <c r="C227" s="39" t="s">
        <v>61</v>
      </c>
      <c r="D227" s="39">
        <v>19.149999999999999</v>
      </c>
      <c r="E227" s="39" t="s">
        <v>65</v>
      </c>
    </row>
    <row r="228" spans="1:5" x14ac:dyDescent="0.2">
      <c r="A228" s="39" t="s">
        <v>66</v>
      </c>
      <c r="B228" s="39" t="s">
        <v>63</v>
      </c>
      <c r="C228" s="39" t="s">
        <v>61</v>
      </c>
      <c r="D228" s="39">
        <v>20.82</v>
      </c>
      <c r="E228" s="39" t="s">
        <v>65</v>
      </c>
    </row>
    <row r="229" spans="1:5" x14ac:dyDescent="0.2">
      <c r="A229" s="39" t="s">
        <v>66</v>
      </c>
      <c r="B229" s="39" t="s">
        <v>60</v>
      </c>
      <c r="C229" s="39" t="s">
        <v>61</v>
      </c>
      <c r="D229" s="39">
        <v>20.61</v>
      </c>
      <c r="E229" s="39" t="s">
        <v>65</v>
      </c>
    </row>
    <row r="230" spans="1:5" x14ac:dyDescent="0.2">
      <c r="A230" s="39" t="s">
        <v>66</v>
      </c>
      <c r="B230" s="39" t="s">
        <v>60</v>
      </c>
      <c r="C230" s="39" t="s">
        <v>61</v>
      </c>
      <c r="D230" s="39">
        <v>21.1</v>
      </c>
      <c r="E230" s="39" t="s">
        <v>65</v>
      </c>
    </row>
    <row r="231" spans="1:5" x14ac:dyDescent="0.2">
      <c r="A231" s="39" t="s">
        <v>66</v>
      </c>
      <c r="B231" s="39" t="s">
        <v>60</v>
      </c>
      <c r="C231" s="39" t="s">
        <v>61</v>
      </c>
      <c r="D231" s="39">
        <v>22.03</v>
      </c>
      <c r="E231" s="39" t="s">
        <v>65</v>
      </c>
    </row>
    <row r="232" spans="1:5" x14ac:dyDescent="0.2">
      <c r="A232" s="39" t="s">
        <v>66</v>
      </c>
      <c r="B232" s="39" t="s">
        <v>60</v>
      </c>
      <c r="C232" s="39" t="s">
        <v>64</v>
      </c>
      <c r="D232" s="39">
        <v>24.03</v>
      </c>
      <c r="E232" s="39" t="s">
        <v>65</v>
      </c>
    </row>
    <row r="233" spans="1:5" x14ac:dyDescent="0.2">
      <c r="A233" s="39" t="s">
        <v>66</v>
      </c>
      <c r="B233" s="39" t="s">
        <v>60</v>
      </c>
      <c r="C233" s="39" t="s">
        <v>61</v>
      </c>
      <c r="D233" s="39">
        <v>24.59</v>
      </c>
      <c r="E233" s="39" t="s">
        <v>65</v>
      </c>
    </row>
    <row r="234" spans="1:5" x14ac:dyDescent="0.2">
      <c r="A234" s="39" t="s">
        <v>66</v>
      </c>
      <c r="B234" s="39" t="s">
        <v>63</v>
      </c>
      <c r="C234" s="39" t="s">
        <v>61</v>
      </c>
      <c r="D234" s="39">
        <v>21.35</v>
      </c>
      <c r="E234" s="39" t="s">
        <v>65</v>
      </c>
    </row>
    <row r="235" spans="1:5" x14ac:dyDescent="0.2">
      <c r="A235" s="39" t="s">
        <v>66</v>
      </c>
      <c r="B235" s="39" t="s">
        <v>60</v>
      </c>
      <c r="C235" s="39" t="s">
        <v>61</v>
      </c>
      <c r="D235" s="39">
        <v>19.47</v>
      </c>
      <c r="E235" s="39" t="s">
        <v>65</v>
      </c>
    </row>
    <row r="236" spans="1:5" x14ac:dyDescent="0.2">
      <c r="A236" s="39" t="s">
        <v>66</v>
      </c>
      <c r="B236" s="39" t="s">
        <v>60</v>
      </c>
      <c r="C236" s="39" t="s">
        <v>61</v>
      </c>
      <c r="D236" s="39">
        <v>21.49</v>
      </c>
      <c r="E236" s="39" t="s">
        <v>65</v>
      </c>
    </row>
    <row r="237" spans="1:5" x14ac:dyDescent="0.2">
      <c r="A237" s="39" t="s">
        <v>66</v>
      </c>
      <c r="B237" s="39" t="s">
        <v>60</v>
      </c>
      <c r="C237" s="39" t="s">
        <v>61</v>
      </c>
      <c r="D237" s="39">
        <v>19.71</v>
      </c>
      <c r="E237" s="39" t="s">
        <v>65</v>
      </c>
    </row>
    <row r="238" spans="1:5" x14ac:dyDescent="0.2">
      <c r="A238" s="39" t="s">
        <v>66</v>
      </c>
      <c r="B238" s="39" t="s">
        <v>60</v>
      </c>
      <c r="C238" s="39" t="s">
        <v>61</v>
      </c>
      <c r="D238" s="39">
        <v>15.56</v>
      </c>
      <c r="E238" s="39" t="s">
        <v>65</v>
      </c>
    </row>
    <row r="239" spans="1:5" x14ac:dyDescent="0.2">
      <c r="A239" s="39" t="s">
        <v>66</v>
      </c>
      <c r="B239" s="39" t="s">
        <v>60</v>
      </c>
      <c r="C239" s="39" t="s">
        <v>61</v>
      </c>
      <c r="D239" s="39">
        <v>21.78</v>
      </c>
      <c r="E239" s="39" t="s">
        <v>65</v>
      </c>
    </row>
    <row r="240" spans="1:5" x14ac:dyDescent="0.2">
      <c r="A240" s="39" t="s">
        <v>66</v>
      </c>
      <c r="B240" s="39" t="s">
        <v>60</v>
      </c>
      <c r="C240" s="39" t="s">
        <v>61</v>
      </c>
      <c r="D240" s="39">
        <v>16.54</v>
      </c>
      <c r="E240" s="39" t="s">
        <v>65</v>
      </c>
    </row>
    <row r="241" spans="1:5" x14ac:dyDescent="0.2">
      <c r="A241" s="39" t="s">
        <v>66</v>
      </c>
      <c r="B241" s="39" t="s">
        <v>63</v>
      </c>
      <c r="C241" s="39" t="s">
        <v>61</v>
      </c>
      <c r="D241" s="39">
        <v>24.65</v>
      </c>
      <c r="E241" s="39" t="s">
        <v>65</v>
      </c>
    </row>
    <row r="242" spans="1:5" x14ac:dyDescent="0.2">
      <c r="A242" s="39" t="s">
        <v>66</v>
      </c>
      <c r="B242" s="39" t="s">
        <v>60</v>
      </c>
      <c r="C242" s="39" t="s">
        <v>61</v>
      </c>
      <c r="D242" s="39">
        <v>21.12</v>
      </c>
      <c r="E242" s="39" t="s">
        <v>65</v>
      </c>
    </row>
    <row r="243" spans="1:5" x14ac:dyDescent="0.2">
      <c r="A243" s="39" t="s">
        <v>66</v>
      </c>
      <c r="B243" s="39" t="s">
        <v>60</v>
      </c>
      <c r="C243" s="39" t="s">
        <v>61</v>
      </c>
      <c r="D243" s="39">
        <v>18.100000000000001</v>
      </c>
      <c r="E243" s="39" t="s">
        <v>65</v>
      </c>
    </row>
    <row r="244" spans="1:5" x14ac:dyDescent="0.2">
      <c r="A244" s="39" t="s">
        <v>66</v>
      </c>
      <c r="B244" s="39" t="s">
        <v>60</v>
      </c>
      <c r="C244" s="39" t="s">
        <v>64</v>
      </c>
      <c r="D244" s="39">
        <v>19.170000000000002</v>
      </c>
      <c r="E244" s="39" t="s">
        <v>65</v>
      </c>
    </row>
    <row r="245" spans="1:5" x14ac:dyDescent="0.2">
      <c r="A245" s="39" t="s">
        <v>66</v>
      </c>
      <c r="B245" s="39" t="s">
        <v>63</v>
      </c>
      <c r="C245" s="39" t="s">
        <v>61</v>
      </c>
      <c r="D245" s="39">
        <v>15.18</v>
      </c>
      <c r="E245" s="39" t="s">
        <v>65</v>
      </c>
    </row>
    <row r="246" spans="1:5" x14ac:dyDescent="0.2">
      <c r="A246" s="39" t="s">
        <v>66</v>
      </c>
      <c r="B246" s="39" t="s">
        <v>60</v>
      </c>
      <c r="C246" s="39" t="s">
        <v>61</v>
      </c>
      <c r="D246" s="39">
        <v>16.989999999999998</v>
      </c>
      <c r="E246" s="39" t="s">
        <v>65</v>
      </c>
    </row>
    <row r="247" spans="1:5" x14ac:dyDescent="0.2">
      <c r="A247" s="39" t="s">
        <v>66</v>
      </c>
      <c r="B247" s="39" t="s">
        <v>63</v>
      </c>
      <c r="C247" s="39" t="s">
        <v>61</v>
      </c>
      <c r="D247" s="39">
        <v>24.8</v>
      </c>
      <c r="E247" s="39" t="s">
        <v>65</v>
      </c>
    </row>
    <row r="248" spans="1:5" x14ac:dyDescent="0.2">
      <c r="A248" s="39" t="s">
        <v>66</v>
      </c>
      <c r="B248" s="39" t="s">
        <v>60</v>
      </c>
      <c r="C248" s="39" t="s">
        <v>61</v>
      </c>
      <c r="D248" s="39">
        <v>23.03</v>
      </c>
      <c r="E248" s="39" t="s">
        <v>65</v>
      </c>
    </row>
    <row r="249" spans="1:5" x14ac:dyDescent="0.2">
      <c r="A249" s="39" t="s">
        <v>66</v>
      </c>
      <c r="B249" s="39" t="s">
        <v>63</v>
      </c>
      <c r="C249" s="39" t="s">
        <v>61</v>
      </c>
      <c r="D249" s="39">
        <v>21.03</v>
      </c>
      <c r="E249" s="39" t="s">
        <v>65</v>
      </c>
    </row>
    <row r="250" spans="1:5" x14ac:dyDescent="0.2">
      <c r="A250" s="39" t="s">
        <v>66</v>
      </c>
      <c r="B250" s="39" t="s">
        <v>63</v>
      </c>
      <c r="C250" s="39" t="s">
        <v>61</v>
      </c>
      <c r="D250" s="39">
        <v>22.26</v>
      </c>
      <c r="E250" s="39" t="s">
        <v>65</v>
      </c>
    </row>
    <row r="251" spans="1:5" x14ac:dyDescent="0.2">
      <c r="A251" s="39" t="s">
        <v>66</v>
      </c>
      <c r="B251" s="39" t="s">
        <v>60</v>
      </c>
      <c r="C251" s="39" t="s">
        <v>61</v>
      </c>
      <c r="D251" s="39">
        <v>21.72</v>
      </c>
      <c r="E251" s="39" t="s">
        <v>65</v>
      </c>
    </row>
    <row r="252" spans="1:5" x14ac:dyDescent="0.2">
      <c r="A252" s="39" t="s">
        <v>66</v>
      </c>
      <c r="B252" s="39" t="s">
        <v>60</v>
      </c>
      <c r="C252" s="39" t="s">
        <v>64</v>
      </c>
      <c r="D252" s="39">
        <v>19.21</v>
      </c>
      <c r="E252" s="39" t="s">
        <v>65</v>
      </c>
    </row>
    <row r="253" spans="1:5" x14ac:dyDescent="0.2">
      <c r="A253" s="39" t="s">
        <v>66</v>
      </c>
      <c r="B253" s="39" t="s">
        <v>60</v>
      </c>
      <c r="C253" s="39" t="s">
        <v>61</v>
      </c>
      <c r="D253" s="39">
        <v>15.33</v>
      </c>
      <c r="E253" s="39" t="s">
        <v>65</v>
      </c>
    </row>
    <row r="254" spans="1:5" x14ac:dyDescent="0.2">
      <c r="A254" s="39" t="s">
        <v>66</v>
      </c>
      <c r="B254" s="39" t="s">
        <v>60</v>
      </c>
      <c r="C254" s="39" t="s">
        <v>61</v>
      </c>
      <c r="D254" s="39">
        <v>23.58</v>
      </c>
      <c r="E254" s="39" t="s">
        <v>65</v>
      </c>
    </row>
    <row r="255" spans="1:5" x14ac:dyDescent="0.2">
      <c r="A255" s="39" t="s">
        <v>66</v>
      </c>
      <c r="B255" s="39" t="s">
        <v>60</v>
      </c>
      <c r="C255" s="39" t="s">
        <v>64</v>
      </c>
      <c r="D255" s="39">
        <v>20.49</v>
      </c>
      <c r="E255" s="39" t="s">
        <v>65</v>
      </c>
    </row>
    <row r="256" spans="1:5" x14ac:dyDescent="0.2">
      <c r="A256" s="39" t="s">
        <v>66</v>
      </c>
      <c r="B256" s="39" t="s">
        <v>60</v>
      </c>
      <c r="C256" s="39" t="s">
        <v>61</v>
      </c>
      <c r="D256" s="39">
        <v>23.75</v>
      </c>
      <c r="E256" s="39" t="s">
        <v>65</v>
      </c>
    </row>
    <row r="257" spans="1:5" x14ac:dyDescent="0.2">
      <c r="A257" s="39" t="s">
        <v>66</v>
      </c>
      <c r="B257" s="39" t="s">
        <v>60</v>
      </c>
      <c r="C257" s="39" t="s">
        <v>64</v>
      </c>
      <c r="D257" s="39">
        <v>23.74</v>
      </c>
      <c r="E257" s="39" t="s">
        <v>65</v>
      </c>
    </row>
    <row r="258" spans="1:5" x14ac:dyDescent="0.2">
      <c r="A258" s="39" t="s">
        <v>66</v>
      </c>
      <c r="B258" s="39" t="s">
        <v>63</v>
      </c>
      <c r="C258" s="39" t="s">
        <v>64</v>
      </c>
      <c r="D258" s="39">
        <v>24.77</v>
      </c>
      <c r="E258" s="39" t="s">
        <v>65</v>
      </c>
    </row>
    <row r="259" spans="1:5" x14ac:dyDescent="0.2">
      <c r="A259" s="39" t="s">
        <v>66</v>
      </c>
      <c r="B259" s="39" t="s">
        <v>63</v>
      </c>
      <c r="C259" s="39" t="s">
        <v>61</v>
      </c>
      <c r="D259" s="39">
        <v>23.01</v>
      </c>
      <c r="E259" s="39" t="s">
        <v>65</v>
      </c>
    </row>
    <row r="260" spans="1:5" x14ac:dyDescent="0.2">
      <c r="A260" s="39" t="s">
        <v>66</v>
      </c>
      <c r="B260" s="39" t="s">
        <v>63</v>
      </c>
      <c r="C260" s="39" t="s">
        <v>61</v>
      </c>
      <c r="D260" s="39">
        <v>18.170000000000002</v>
      </c>
      <c r="E260" s="39" t="s">
        <v>65</v>
      </c>
    </row>
    <row r="261" spans="1:5" x14ac:dyDescent="0.2">
      <c r="A261" s="39" t="s">
        <v>66</v>
      </c>
      <c r="B261" s="39" t="s">
        <v>60</v>
      </c>
      <c r="C261" s="39" t="s">
        <v>61</v>
      </c>
      <c r="D261" s="39">
        <v>15.25</v>
      </c>
      <c r="E261" s="39" t="s">
        <v>65</v>
      </c>
    </row>
    <row r="262" spans="1:5" x14ac:dyDescent="0.2">
      <c r="A262" s="39" t="s">
        <v>66</v>
      </c>
      <c r="B262" s="39" t="s">
        <v>60</v>
      </c>
      <c r="C262" s="39" t="s">
        <v>64</v>
      </c>
      <c r="D262" s="39">
        <v>21.92</v>
      </c>
      <c r="E262" s="39" t="s">
        <v>65</v>
      </c>
    </row>
    <row r="263" spans="1:5" x14ac:dyDescent="0.2">
      <c r="A263" s="39" t="s">
        <v>66</v>
      </c>
      <c r="B263" s="39" t="s">
        <v>60</v>
      </c>
      <c r="C263" s="39" t="s">
        <v>64</v>
      </c>
      <c r="D263" s="39">
        <v>16.149999999999999</v>
      </c>
      <c r="E263" s="39" t="s">
        <v>65</v>
      </c>
    </row>
    <row r="264" spans="1:5" x14ac:dyDescent="0.2">
      <c r="A264" s="39" t="s">
        <v>66</v>
      </c>
      <c r="B264" s="39" t="s">
        <v>63</v>
      </c>
      <c r="C264" s="39" t="s">
        <v>61</v>
      </c>
      <c r="D264" s="39">
        <v>15.61</v>
      </c>
      <c r="E264" s="39" t="s">
        <v>65</v>
      </c>
    </row>
    <row r="265" spans="1:5" x14ac:dyDescent="0.2">
      <c r="A265" s="39" t="s">
        <v>66</v>
      </c>
      <c r="B265" s="39" t="s">
        <v>60</v>
      </c>
      <c r="C265" s="39" t="s">
        <v>64</v>
      </c>
      <c r="D265" s="39">
        <v>23.06</v>
      </c>
      <c r="E265" s="39" t="s">
        <v>65</v>
      </c>
    </row>
    <row r="266" spans="1:5" x14ac:dyDescent="0.2">
      <c r="A266" s="39" t="s">
        <v>66</v>
      </c>
      <c r="B266" s="39" t="s">
        <v>60</v>
      </c>
      <c r="C266" s="39" t="s">
        <v>64</v>
      </c>
      <c r="D266" s="39">
        <v>22.84</v>
      </c>
      <c r="E266" s="39" t="s">
        <v>65</v>
      </c>
    </row>
    <row r="267" spans="1:5" x14ac:dyDescent="0.2">
      <c r="A267" s="39" t="s">
        <v>66</v>
      </c>
      <c r="B267" s="39" t="s">
        <v>60</v>
      </c>
      <c r="C267" s="39" t="s">
        <v>61</v>
      </c>
      <c r="D267" s="39">
        <v>22.57</v>
      </c>
      <c r="E267" s="39" t="s">
        <v>65</v>
      </c>
    </row>
    <row r="268" spans="1:5" x14ac:dyDescent="0.2">
      <c r="A268" s="39" t="s">
        <v>66</v>
      </c>
      <c r="B268" s="39" t="s">
        <v>60</v>
      </c>
      <c r="C268" s="39" t="s">
        <v>61</v>
      </c>
      <c r="D268" s="39">
        <v>24.79</v>
      </c>
      <c r="E268" s="39" t="s">
        <v>65</v>
      </c>
    </row>
    <row r="269" spans="1:5" x14ac:dyDescent="0.2">
      <c r="A269" s="39" t="s">
        <v>66</v>
      </c>
      <c r="B269" s="39" t="s">
        <v>60</v>
      </c>
      <c r="C269" s="39" t="s">
        <v>64</v>
      </c>
      <c r="D269" s="39">
        <v>18.84</v>
      </c>
      <c r="E269" s="39" t="s">
        <v>65</v>
      </c>
    </row>
    <row r="270" spans="1:5" x14ac:dyDescent="0.2">
      <c r="A270" s="39" t="s">
        <v>66</v>
      </c>
      <c r="B270" s="39" t="s">
        <v>63</v>
      </c>
      <c r="C270" s="39" t="s">
        <v>61</v>
      </c>
      <c r="D270" s="39">
        <v>22.92</v>
      </c>
      <c r="E270" s="39" t="s">
        <v>65</v>
      </c>
    </row>
    <row r="271" spans="1:5" x14ac:dyDescent="0.2">
      <c r="A271" s="39" t="s">
        <v>66</v>
      </c>
      <c r="B271" s="39" t="s">
        <v>63</v>
      </c>
      <c r="C271" s="39" t="s">
        <v>64</v>
      </c>
      <c r="D271" s="39">
        <v>15.94</v>
      </c>
      <c r="E271" s="39" t="s">
        <v>65</v>
      </c>
    </row>
    <row r="272" spans="1:5" x14ac:dyDescent="0.2">
      <c r="A272" s="39" t="s">
        <v>66</v>
      </c>
      <c r="B272" s="39" t="s">
        <v>63</v>
      </c>
      <c r="C272" s="39" t="s">
        <v>61</v>
      </c>
      <c r="D272" s="39">
        <v>19.2</v>
      </c>
      <c r="E272" s="39" t="s">
        <v>65</v>
      </c>
    </row>
    <row r="273" spans="1:5" x14ac:dyDescent="0.2">
      <c r="A273" s="39" t="s">
        <v>66</v>
      </c>
      <c r="B273" s="39" t="s">
        <v>60</v>
      </c>
      <c r="C273" s="39" t="s">
        <v>64</v>
      </c>
      <c r="D273" s="39">
        <v>17.34</v>
      </c>
      <c r="E273" s="39" t="s">
        <v>65</v>
      </c>
    </row>
    <row r="274" spans="1:5" x14ac:dyDescent="0.2">
      <c r="A274" s="39" t="s">
        <v>66</v>
      </c>
      <c r="B274" s="39" t="s">
        <v>60</v>
      </c>
      <c r="C274" s="39" t="s">
        <v>61</v>
      </c>
      <c r="D274" s="39">
        <v>18.41</v>
      </c>
      <c r="E274" s="39" t="s">
        <v>65</v>
      </c>
    </row>
    <row r="275" spans="1:5" x14ac:dyDescent="0.2">
      <c r="A275" s="39" t="s">
        <v>66</v>
      </c>
      <c r="B275" s="39" t="s">
        <v>63</v>
      </c>
      <c r="C275" s="39" t="s">
        <v>61</v>
      </c>
      <c r="D275" s="39">
        <v>17.079999999999998</v>
      </c>
      <c r="E275" s="39" t="s">
        <v>65</v>
      </c>
    </row>
    <row r="276" spans="1:5" x14ac:dyDescent="0.2">
      <c r="A276" s="39" t="s">
        <v>66</v>
      </c>
      <c r="B276" s="39" t="s">
        <v>60</v>
      </c>
      <c r="C276" s="39" t="s">
        <v>61</v>
      </c>
      <c r="D276" s="39">
        <v>17.5</v>
      </c>
      <c r="E276" s="39" t="s">
        <v>65</v>
      </c>
    </row>
    <row r="277" spans="1:5" x14ac:dyDescent="0.2">
      <c r="A277" s="39" t="s">
        <v>66</v>
      </c>
      <c r="B277" s="39" t="s">
        <v>60</v>
      </c>
      <c r="C277" s="39" t="s">
        <v>61</v>
      </c>
      <c r="D277" s="39">
        <v>19.27</v>
      </c>
      <c r="E277" s="39" t="s">
        <v>65</v>
      </c>
    </row>
    <row r="278" spans="1:5" x14ac:dyDescent="0.2">
      <c r="A278" s="39" t="s">
        <v>66</v>
      </c>
      <c r="B278" s="39" t="s">
        <v>60</v>
      </c>
      <c r="C278" s="39" t="s">
        <v>61</v>
      </c>
      <c r="D278" s="39">
        <v>15.59</v>
      </c>
      <c r="E278" s="39" t="s">
        <v>65</v>
      </c>
    </row>
    <row r="279" spans="1:5" x14ac:dyDescent="0.2">
      <c r="A279" s="39" t="s">
        <v>66</v>
      </c>
      <c r="B279" s="39" t="s">
        <v>60</v>
      </c>
      <c r="C279" s="39" t="s">
        <v>61</v>
      </c>
      <c r="D279" s="39">
        <v>20.88</v>
      </c>
      <c r="E279" s="39" t="s">
        <v>65</v>
      </c>
    </row>
    <row r="280" spans="1:5" x14ac:dyDescent="0.2">
      <c r="A280" s="39" t="s">
        <v>66</v>
      </c>
      <c r="B280" s="39" t="s">
        <v>60</v>
      </c>
      <c r="C280" s="39" t="s">
        <v>61</v>
      </c>
      <c r="D280" s="39">
        <v>16.47</v>
      </c>
      <c r="E280" s="39" t="s">
        <v>65</v>
      </c>
    </row>
    <row r="281" spans="1:5" x14ac:dyDescent="0.2">
      <c r="A281" s="39" t="s">
        <v>66</v>
      </c>
      <c r="B281" s="39" t="s">
        <v>63</v>
      </c>
      <c r="C281" s="39" t="s">
        <v>61</v>
      </c>
      <c r="D281" s="39">
        <v>18.11</v>
      </c>
      <c r="E281" s="39" t="s">
        <v>65</v>
      </c>
    </row>
    <row r="282" spans="1:5" x14ac:dyDescent="0.2">
      <c r="A282" s="39" t="s">
        <v>66</v>
      </c>
      <c r="B282" s="39" t="s">
        <v>63</v>
      </c>
      <c r="C282" s="39" t="s">
        <v>61</v>
      </c>
      <c r="D282" s="39">
        <v>20.73</v>
      </c>
      <c r="E282" s="39" t="s">
        <v>65</v>
      </c>
    </row>
    <row r="283" spans="1:5" x14ac:dyDescent="0.2">
      <c r="A283" s="39" t="s">
        <v>66</v>
      </c>
      <c r="B283" s="39" t="s">
        <v>60</v>
      </c>
      <c r="C283" s="39" t="s">
        <v>61</v>
      </c>
      <c r="D283" s="39">
        <v>21.64</v>
      </c>
      <c r="E283" s="39" t="s">
        <v>65</v>
      </c>
    </row>
    <row r="284" spans="1:5" x14ac:dyDescent="0.2">
      <c r="A284" s="39" t="s">
        <v>66</v>
      </c>
      <c r="B284" s="39" t="s">
        <v>60</v>
      </c>
      <c r="C284" s="39" t="s">
        <v>61</v>
      </c>
      <c r="D284" s="39">
        <v>17.7</v>
      </c>
      <c r="E284" s="39" t="s">
        <v>65</v>
      </c>
    </row>
    <row r="285" spans="1:5" x14ac:dyDescent="0.2">
      <c r="A285" s="39" t="s">
        <v>66</v>
      </c>
      <c r="B285" s="39" t="s">
        <v>60</v>
      </c>
      <c r="C285" s="39" t="s">
        <v>61</v>
      </c>
      <c r="D285" s="39">
        <v>24.24</v>
      </c>
      <c r="E285" s="39" t="s">
        <v>65</v>
      </c>
    </row>
    <row r="286" spans="1:5" x14ac:dyDescent="0.2">
      <c r="A286" s="39" t="s">
        <v>66</v>
      </c>
      <c r="B286" s="39" t="s">
        <v>60</v>
      </c>
      <c r="C286" s="39" t="s">
        <v>61</v>
      </c>
      <c r="D286" s="39">
        <v>16.010000000000002</v>
      </c>
      <c r="E286" s="39" t="s">
        <v>65</v>
      </c>
    </row>
    <row r="287" spans="1:5" x14ac:dyDescent="0.2">
      <c r="A287" s="39" t="s">
        <v>66</v>
      </c>
      <c r="B287" s="39" t="s">
        <v>63</v>
      </c>
      <c r="C287" s="39" t="s">
        <v>61</v>
      </c>
      <c r="D287" s="39">
        <v>18.88</v>
      </c>
      <c r="E287" s="39" t="s">
        <v>65</v>
      </c>
    </row>
    <row r="288" spans="1:5" x14ac:dyDescent="0.2">
      <c r="A288" s="39" t="s">
        <v>66</v>
      </c>
      <c r="B288" s="39" t="s">
        <v>60</v>
      </c>
      <c r="C288" s="39" t="s">
        <v>61</v>
      </c>
      <c r="D288" s="39">
        <v>19.760000000000002</v>
      </c>
      <c r="E288" s="39" t="s">
        <v>65</v>
      </c>
    </row>
    <row r="289" spans="1:5" x14ac:dyDescent="0.2">
      <c r="A289" s="39" t="s">
        <v>66</v>
      </c>
      <c r="B289" s="39" t="s">
        <v>63</v>
      </c>
      <c r="C289" s="39" t="s">
        <v>61</v>
      </c>
      <c r="D289" s="39">
        <v>21.29</v>
      </c>
      <c r="E289" s="39" t="s">
        <v>65</v>
      </c>
    </row>
    <row r="290" spans="1:5" x14ac:dyDescent="0.2">
      <c r="A290" s="39" t="s">
        <v>66</v>
      </c>
      <c r="B290" s="39" t="s">
        <v>60</v>
      </c>
      <c r="C290" s="39" t="s">
        <v>61</v>
      </c>
      <c r="D290" s="39">
        <v>24.44</v>
      </c>
      <c r="E290" s="39" t="s">
        <v>65</v>
      </c>
    </row>
    <row r="291" spans="1:5" x14ac:dyDescent="0.2">
      <c r="A291" s="39" t="s">
        <v>66</v>
      </c>
      <c r="B291" s="39" t="s">
        <v>60</v>
      </c>
      <c r="C291" s="39" t="s">
        <v>61</v>
      </c>
      <c r="D291" s="39">
        <v>17.87</v>
      </c>
      <c r="E291" s="39" t="s">
        <v>65</v>
      </c>
    </row>
    <row r="292" spans="1:5" x14ac:dyDescent="0.2">
      <c r="A292" s="39" t="s">
        <v>66</v>
      </c>
      <c r="B292" s="39" t="s">
        <v>63</v>
      </c>
      <c r="C292" s="39" t="s">
        <v>61</v>
      </c>
      <c r="D292" s="39">
        <v>24.16</v>
      </c>
      <c r="E292" s="39" t="s">
        <v>65</v>
      </c>
    </row>
    <row r="293" spans="1:5" x14ac:dyDescent="0.2">
      <c r="A293" s="39" t="s">
        <v>66</v>
      </c>
      <c r="B293" s="39" t="s">
        <v>60</v>
      </c>
      <c r="C293" s="39" t="s">
        <v>64</v>
      </c>
      <c r="D293" s="39">
        <v>15.18</v>
      </c>
      <c r="E293" s="39" t="s">
        <v>65</v>
      </c>
    </row>
    <row r="294" spans="1:5" x14ac:dyDescent="0.2">
      <c r="A294" s="39" t="s">
        <v>66</v>
      </c>
      <c r="B294" s="39" t="s">
        <v>63</v>
      </c>
      <c r="C294" s="39" t="s">
        <v>61</v>
      </c>
      <c r="D294" s="39">
        <v>15.62</v>
      </c>
      <c r="E294" s="39" t="s">
        <v>65</v>
      </c>
    </row>
    <row r="295" spans="1:5" x14ac:dyDescent="0.2">
      <c r="A295" s="39" t="s">
        <v>67</v>
      </c>
      <c r="B295" s="39" t="s">
        <v>63</v>
      </c>
      <c r="C295" s="39" t="s">
        <v>64</v>
      </c>
      <c r="D295" s="39">
        <v>17.16</v>
      </c>
      <c r="E295" s="39" t="s">
        <v>62</v>
      </c>
    </row>
    <row r="296" spans="1:5" x14ac:dyDescent="0.2">
      <c r="A296" s="39" t="s">
        <v>67</v>
      </c>
      <c r="B296" s="39" t="s">
        <v>63</v>
      </c>
      <c r="C296" s="39" t="s">
        <v>61</v>
      </c>
      <c r="D296" s="39">
        <v>19.29</v>
      </c>
      <c r="E296" s="39" t="s">
        <v>62</v>
      </c>
    </row>
    <row r="297" spans="1:5" x14ac:dyDescent="0.2">
      <c r="A297" s="39" t="s">
        <v>67</v>
      </c>
      <c r="B297" s="39" t="s">
        <v>63</v>
      </c>
      <c r="C297" s="39" t="s">
        <v>64</v>
      </c>
      <c r="D297" s="39">
        <v>16.09</v>
      </c>
      <c r="E297" s="39" t="s">
        <v>62</v>
      </c>
    </row>
    <row r="298" spans="1:5" x14ac:dyDescent="0.2">
      <c r="A298" s="39" t="s">
        <v>67</v>
      </c>
      <c r="B298" s="39" t="s">
        <v>63</v>
      </c>
      <c r="C298" s="39" t="s">
        <v>61</v>
      </c>
      <c r="D298" s="39">
        <v>22.88</v>
      </c>
      <c r="E298" s="39" t="s">
        <v>62</v>
      </c>
    </row>
    <row r="299" spans="1:5" x14ac:dyDescent="0.2">
      <c r="A299" s="39" t="s">
        <v>67</v>
      </c>
      <c r="B299" s="39" t="s">
        <v>63</v>
      </c>
      <c r="C299" s="39" t="s">
        <v>64</v>
      </c>
      <c r="D299" s="39">
        <v>21.64</v>
      </c>
      <c r="E299" s="39" t="s">
        <v>62</v>
      </c>
    </row>
    <row r="300" spans="1:5" x14ac:dyDescent="0.2">
      <c r="A300" s="39" t="s">
        <v>67</v>
      </c>
      <c r="B300" s="39" t="s">
        <v>60</v>
      </c>
      <c r="C300" s="39" t="s">
        <v>61</v>
      </c>
      <c r="D300" s="39">
        <v>18.93</v>
      </c>
      <c r="E300" s="39" t="s">
        <v>62</v>
      </c>
    </row>
    <row r="301" spans="1:5" x14ac:dyDescent="0.2">
      <c r="A301" s="39" t="s">
        <v>67</v>
      </c>
      <c r="B301" s="39" t="s">
        <v>60</v>
      </c>
      <c r="C301" s="39" t="s">
        <v>64</v>
      </c>
      <c r="D301" s="39">
        <v>16.829999999999998</v>
      </c>
      <c r="E301" s="39" t="s">
        <v>62</v>
      </c>
    </row>
    <row r="302" spans="1:5" x14ac:dyDescent="0.2">
      <c r="A302" s="39" t="s">
        <v>67</v>
      </c>
      <c r="B302" s="39" t="s">
        <v>63</v>
      </c>
      <c r="C302" s="39" t="s">
        <v>61</v>
      </c>
      <c r="D302" s="39">
        <v>15.22</v>
      </c>
      <c r="E302" s="39" t="s">
        <v>62</v>
      </c>
    </row>
    <row r="303" spans="1:5" x14ac:dyDescent="0.2">
      <c r="A303" s="39" t="s">
        <v>67</v>
      </c>
      <c r="B303" s="39" t="s">
        <v>63</v>
      </c>
      <c r="C303" s="39" t="s">
        <v>61</v>
      </c>
      <c r="D303" s="39">
        <v>22.26</v>
      </c>
      <c r="E303" s="39" t="s">
        <v>62</v>
      </c>
    </row>
    <row r="304" spans="1:5" x14ac:dyDescent="0.2">
      <c r="A304" s="39" t="s">
        <v>67</v>
      </c>
      <c r="B304" s="39" t="s">
        <v>60</v>
      </c>
      <c r="C304" s="39" t="s">
        <v>61</v>
      </c>
      <c r="D304" s="39">
        <v>22.86</v>
      </c>
      <c r="E304" s="39" t="s">
        <v>62</v>
      </c>
    </row>
    <row r="305" spans="1:5" x14ac:dyDescent="0.2">
      <c r="A305" s="39" t="s">
        <v>67</v>
      </c>
      <c r="B305" s="39" t="s">
        <v>63</v>
      </c>
      <c r="C305" s="39" t="s">
        <v>61</v>
      </c>
      <c r="D305" s="39">
        <v>234.63</v>
      </c>
      <c r="E305" s="39" t="s">
        <v>62</v>
      </c>
    </row>
    <row r="306" spans="1:5" x14ac:dyDescent="0.2">
      <c r="A306" s="39" t="s">
        <v>67</v>
      </c>
      <c r="B306" s="39" t="s">
        <v>63</v>
      </c>
      <c r="C306" s="39" t="s">
        <v>61</v>
      </c>
      <c r="D306" s="39">
        <v>24.97</v>
      </c>
      <c r="E306" s="39" t="s">
        <v>62</v>
      </c>
    </row>
    <row r="307" spans="1:5" x14ac:dyDescent="0.2">
      <c r="A307" s="39" t="s">
        <v>67</v>
      </c>
      <c r="B307" s="39" t="s">
        <v>63</v>
      </c>
      <c r="C307" s="39" t="s">
        <v>61</v>
      </c>
      <c r="D307" s="39">
        <v>22.59</v>
      </c>
      <c r="E307" s="39" t="s">
        <v>62</v>
      </c>
    </row>
    <row r="308" spans="1:5" x14ac:dyDescent="0.2">
      <c r="A308" s="39" t="s">
        <v>67</v>
      </c>
      <c r="B308" s="39" t="s">
        <v>63</v>
      </c>
      <c r="C308" s="39" t="s">
        <v>61</v>
      </c>
      <c r="D308" s="39">
        <v>23.74</v>
      </c>
      <c r="E308" s="39" t="s">
        <v>62</v>
      </c>
    </row>
    <row r="309" spans="1:5" x14ac:dyDescent="0.2">
      <c r="A309" s="39" t="s">
        <v>67</v>
      </c>
      <c r="B309" s="39" t="s">
        <v>60</v>
      </c>
      <c r="C309" s="39" t="s">
        <v>61</v>
      </c>
      <c r="D309" s="39">
        <v>19.440000000000001</v>
      </c>
      <c r="E309" s="39" t="s">
        <v>62</v>
      </c>
    </row>
    <row r="310" spans="1:5" x14ac:dyDescent="0.2">
      <c r="A310" s="39" t="s">
        <v>67</v>
      </c>
      <c r="B310" s="39" t="s">
        <v>63</v>
      </c>
      <c r="C310" s="39" t="s">
        <v>61</v>
      </c>
      <c r="D310" s="39">
        <v>23.63</v>
      </c>
      <c r="E310" s="39" t="s">
        <v>62</v>
      </c>
    </row>
    <row r="311" spans="1:5" x14ac:dyDescent="0.2">
      <c r="A311" s="39" t="s">
        <v>67</v>
      </c>
      <c r="B311" s="39" t="s">
        <v>60</v>
      </c>
      <c r="C311" s="39" t="s">
        <v>61</v>
      </c>
      <c r="D311" s="39">
        <v>20.399999999999999</v>
      </c>
      <c r="E311" s="39" t="s">
        <v>62</v>
      </c>
    </row>
    <row r="312" spans="1:5" x14ac:dyDescent="0.2">
      <c r="A312" s="39" t="s">
        <v>67</v>
      </c>
      <c r="B312" s="39" t="s">
        <v>60</v>
      </c>
      <c r="C312" s="39" t="s">
        <v>64</v>
      </c>
      <c r="D312" s="39">
        <v>15.34</v>
      </c>
      <c r="E312" s="39" t="s">
        <v>62</v>
      </c>
    </row>
    <row r="313" spans="1:5" x14ac:dyDescent="0.2">
      <c r="A313" s="39" t="s">
        <v>67</v>
      </c>
      <c r="B313" s="39" t="s">
        <v>63</v>
      </c>
      <c r="C313" s="39" t="s">
        <v>61</v>
      </c>
      <c r="D313" s="39">
        <v>216.2</v>
      </c>
      <c r="E313" s="39" t="s">
        <v>62</v>
      </c>
    </row>
    <row r="314" spans="1:5" x14ac:dyDescent="0.2">
      <c r="A314" s="39" t="s">
        <v>67</v>
      </c>
      <c r="B314" s="39" t="s">
        <v>63</v>
      </c>
      <c r="C314" s="39" t="s">
        <v>61</v>
      </c>
      <c r="D314" s="39">
        <v>20.440000000000001</v>
      </c>
      <c r="E314" s="39" t="s">
        <v>62</v>
      </c>
    </row>
    <row r="315" spans="1:5" x14ac:dyDescent="0.2">
      <c r="A315" s="39" t="s">
        <v>67</v>
      </c>
      <c r="B315" s="39" t="s">
        <v>60</v>
      </c>
      <c r="C315" s="39" t="s">
        <v>61</v>
      </c>
      <c r="D315" s="39">
        <v>19.899999999999999</v>
      </c>
      <c r="E315" s="39" t="s">
        <v>62</v>
      </c>
    </row>
    <row r="316" spans="1:5" x14ac:dyDescent="0.2">
      <c r="A316" s="39" t="s">
        <v>67</v>
      </c>
      <c r="B316" s="39" t="s">
        <v>63</v>
      </c>
      <c r="C316" s="39" t="s">
        <v>61</v>
      </c>
      <c r="D316" s="39">
        <v>191.43</v>
      </c>
      <c r="E316" s="39" t="s">
        <v>62</v>
      </c>
    </row>
    <row r="317" spans="1:5" x14ac:dyDescent="0.2">
      <c r="A317" s="39" t="s">
        <v>67</v>
      </c>
      <c r="B317" s="39" t="s">
        <v>60</v>
      </c>
      <c r="C317" s="39" t="s">
        <v>61</v>
      </c>
      <c r="D317" s="39">
        <v>22.65</v>
      </c>
      <c r="E317" s="39" t="s">
        <v>62</v>
      </c>
    </row>
    <row r="318" spans="1:5" x14ac:dyDescent="0.2">
      <c r="A318" s="39" t="s">
        <v>67</v>
      </c>
      <c r="B318" s="39" t="s">
        <v>63</v>
      </c>
      <c r="C318" s="39" t="s">
        <v>64</v>
      </c>
      <c r="D318" s="39">
        <v>17.510000000000002</v>
      </c>
      <c r="E318" s="39" t="s">
        <v>62</v>
      </c>
    </row>
    <row r="319" spans="1:5" x14ac:dyDescent="0.2">
      <c r="A319" s="39" t="s">
        <v>67</v>
      </c>
      <c r="B319" s="39" t="s">
        <v>60</v>
      </c>
      <c r="C319" s="39" t="s">
        <v>61</v>
      </c>
      <c r="D319" s="39">
        <v>17.190000000000001</v>
      </c>
      <c r="E319" s="39" t="s">
        <v>62</v>
      </c>
    </row>
    <row r="320" spans="1:5" x14ac:dyDescent="0.2">
      <c r="A320" s="39" t="s">
        <v>67</v>
      </c>
      <c r="B320" s="39" t="s">
        <v>60</v>
      </c>
      <c r="C320" s="39" t="s">
        <v>64</v>
      </c>
      <c r="D320" s="39">
        <v>22.11</v>
      </c>
      <c r="E320" s="39" t="s">
        <v>62</v>
      </c>
    </row>
    <row r="321" spans="1:5" x14ac:dyDescent="0.2">
      <c r="A321" s="39" t="s">
        <v>67</v>
      </c>
      <c r="B321" s="39" t="s">
        <v>60</v>
      </c>
      <c r="C321" s="39" t="s">
        <v>61</v>
      </c>
      <c r="D321" s="39">
        <v>20.18</v>
      </c>
      <c r="E321" s="39" t="s">
        <v>62</v>
      </c>
    </row>
    <row r="322" spans="1:5" x14ac:dyDescent="0.2">
      <c r="A322" s="39" t="s">
        <v>67</v>
      </c>
      <c r="B322" s="39" t="s">
        <v>60</v>
      </c>
      <c r="C322" s="39" t="s">
        <v>61</v>
      </c>
      <c r="D322" s="39">
        <v>21.53</v>
      </c>
      <c r="E322" s="39" t="s">
        <v>62</v>
      </c>
    </row>
    <row r="323" spans="1:5" x14ac:dyDescent="0.2">
      <c r="A323" s="39" t="s">
        <v>67</v>
      </c>
      <c r="B323" s="39" t="s">
        <v>60</v>
      </c>
      <c r="C323" s="39" t="s">
        <v>61</v>
      </c>
      <c r="D323" s="39">
        <v>20.16</v>
      </c>
      <c r="E323" s="39" t="s">
        <v>62</v>
      </c>
    </row>
    <row r="324" spans="1:5" x14ac:dyDescent="0.2">
      <c r="A324" s="39" t="s">
        <v>67</v>
      </c>
      <c r="B324" s="39" t="s">
        <v>60</v>
      </c>
      <c r="C324" s="39" t="s">
        <v>64</v>
      </c>
      <c r="D324" s="39">
        <v>22.53</v>
      </c>
      <c r="E324" s="39" t="s">
        <v>62</v>
      </c>
    </row>
    <row r="325" spans="1:5" x14ac:dyDescent="0.2">
      <c r="A325" s="39" t="s">
        <v>67</v>
      </c>
      <c r="B325" s="39" t="s">
        <v>63</v>
      </c>
      <c r="C325" s="39" t="s">
        <v>64</v>
      </c>
      <c r="D325" s="39">
        <v>23.54</v>
      </c>
      <c r="E325" s="39" t="s">
        <v>62</v>
      </c>
    </row>
    <row r="326" spans="1:5" x14ac:dyDescent="0.2">
      <c r="A326" s="39" t="s">
        <v>67</v>
      </c>
      <c r="B326" s="39" t="s">
        <v>60</v>
      </c>
      <c r="C326" s="39" t="s">
        <v>61</v>
      </c>
      <c r="D326" s="39">
        <v>153.83000000000001</v>
      </c>
      <c r="E326" s="39" t="s">
        <v>62</v>
      </c>
    </row>
    <row r="327" spans="1:5" x14ac:dyDescent="0.2">
      <c r="A327" s="39" t="s">
        <v>67</v>
      </c>
      <c r="B327" s="39" t="s">
        <v>63</v>
      </c>
      <c r="C327" s="39" t="s">
        <v>61</v>
      </c>
      <c r="D327" s="39">
        <v>21.43</v>
      </c>
      <c r="E327" s="39" t="s">
        <v>62</v>
      </c>
    </row>
    <row r="328" spans="1:5" x14ac:dyDescent="0.2">
      <c r="A328" s="39" t="s">
        <v>67</v>
      </c>
      <c r="B328" s="39" t="s">
        <v>60</v>
      </c>
      <c r="C328" s="39" t="s">
        <v>61</v>
      </c>
      <c r="D328" s="39">
        <v>23.47</v>
      </c>
      <c r="E328" s="39" t="s">
        <v>62</v>
      </c>
    </row>
    <row r="329" spans="1:5" x14ac:dyDescent="0.2">
      <c r="A329" s="39" t="s">
        <v>67</v>
      </c>
      <c r="B329" s="39" t="s">
        <v>60</v>
      </c>
      <c r="C329" s="39" t="s">
        <v>61</v>
      </c>
      <c r="D329" s="39">
        <v>16.66</v>
      </c>
      <c r="E329" s="39" t="s">
        <v>62</v>
      </c>
    </row>
    <row r="330" spans="1:5" x14ac:dyDescent="0.2">
      <c r="A330" s="39" t="s">
        <v>67</v>
      </c>
      <c r="B330" s="39" t="s">
        <v>60</v>
      </c>
      <c r="C330" s="39" t="s">
        <v>64</v>
      </c>
      <c r="D330" s="39">
        <v>21.78</v>
      </c>
      <c r="E330" s="39" t="s">
        <v>62</v>
      </c>
    </row>
    <row r="331" spans="1:5" x14ac:dyDescent="0.2">
      <c r="A331" s="39" t="s">
        <v>67</v>
      </c>
      <c r="B331" s="39" t="s">
        <v>63</v>
      </c>
      <c r="C331" s="39" t="s">
        <v>61</v>
      </c>
      <c r="D331" s="39">
        <v>160.78</v>
      </c>
      <c r="E331" s="39" t="s">
        <v>62</v>
      </c>
    </row>
    <row r="332" spans="1:5" x14ac:dyDescent="0.2">
      <c r="A332" s="39" t="s">
        <v>67</v>
      </c>
      <c r="B332" s="39" t="s">
        <v>60</v>
      </c>
      <c r="C332" s="39" t="s">
        <v>64</v>
      </c>
      <c r="D332" s="39">
        <v>18.920000000000002</v>
      </c>
      <c r="E332" s="39" t="s">
        <v>62</v>
      </c>
    </row>
    <row r="333" spans="1:5" x14ac:dyDescent="0.2">
      <c r="A333" s="39" t="s">
        <v>67</v>
      </c>
      <c r="B333" s="39" t="s">
        <v>60</v>
      </c>
      <c r="C333" s="39" t="s">
        <v>61</v>
      </c>
      <c r="D333" s="39">
        <v>152.27000000000001</v>
      </c>
      <c r="E333" s="39" t="s">
        <v>62</v>
      </c>
    </row>
    <row r="334" spans="1:5" x14ac:dyDescent="0.2">
      <c r="A334" s="39" t="s">
        <v>67</v>
      </c>
      <c r="B334" s="39" t="s">
        <v>60</v>
      </c>
      <c r="C334" s="39" t="s">
        <v>61</v>
      </c>
      <c r="D334" s="39">
        <v>20.83</v>
      </c>
      <c r="E334" s="39" t="s">
        <v>62</v>
      </c>
    </row>
    <row r="335" spans="1:5" x14ac:dyDescent="0.2">
      <c r="A335" s="39" t="s">
        <v>67</v>
      </c>
      <c r="B335" s="39" t="s">
        <v>63</v>
      </c>
      <c r="C335" s="39" t="s">
        <v>61</v>
      </c>
      <c r="D335" s="39">
        <v>163.37</v>
      </c>
      <c r="E335" s="39" t="s">
        <v>62</v>
      </c>
    </row>
    <row r="336" spans="1:5" x14ac:dyDescent="0.2">
      <c r="A336" s="39" t="s">
        <v>67</v>
      </c>
      <c r="B336" s="39" t="s">
        <v>63</v>
      </c>
      <c r="C336" s="39" t="s">
        <v>61</v>
      </c>
      <c r="D336" s="39">
        <v>24.78</v>
      </c>
      <c r="E336" s="39" t="s">
        <v>62</v>
      </c>
    </row>
    <row r="337" spans="1:5" x14ac:dyDescent="0.2">
      <c r="A337" s="39" t="s">
        <v>67</v>
      </c>
      <c r="B337" s="39" t="s">
        <v>63</v>
      </c>
      <c r="C337" s="39" t="s">
        <v>64</v>
      </c>
      <c r="D337" s="39">
        <v>17.88</v>
      </c>
      <c r="E337" s="39" t="s">
        <v>62</v>
      </c>
    </row>
    <row r="338" spans="1:5" x14ac:dyDescent="0.2">
      <c r="A338" s="39" t="s">
        <v>67</v>
      </c>
      <c r="B338" s="39" t="s">
        <v>60</v>
      </c>
      <c r="C338" s="39" t="s">
        <v>61</v>
      </c>
      <c r="D338" s="39">
        <v>23.98</v>
      </c>
      <c r="E338" s="39" t="s">
        <v>65</v>
      </c>
    </row>
    <row r="339" spans="1:5" x14ac:dyDescent="0.2">
      <c r="A339" s="39" t="s">
        <v>67</v>
      </c>
      <c r="B339" s="39" t="s">
        <v>63</v>
      </c>
      <c r="C339" s="39" t="s">
        <v>61</v>
      </c>
      <c r="D339" s="39">
        <v>19.54</v>
      </c>
      <c r="E339" s="39" t="s">
        <v>65</v>
      </c>
    </row>
    <row r="340" spans="1:5" x14ac:dyDescent="0.2">
      <c r="A340" s="39" t="s">
        <v>67</v>
      </c>
      <c r="B340" s="39" t="s">
        <v>63</v>
      </c>
      <c r="C340" s="39" t="s">
        <v>64</v>
      </c>
      <c r="D340" s="39">
        <v>17.95</v>
      </c>
      <c r="E340" s="39" t="s">
        <v>65</v>
      </c>
    </row>
    <row r="341" spans="1:5" x14ac:dyDescent="0.2">
      <c r="A341" s="39" t="s">
        <v>67</v>
      </c>
      <c r="B341" s="39" t="s">
        <v>60</v>
      </c>
      <c r="C341" s="39" t="s">
        <v>61</v>
      </c>
      <c r="D341" s="39">
        <v>18.78</v>
      </c>
      <c r="E341" s="39" t="s">
        <v>65</v>
      </c>
    </row>
    <row r="342" spans="1:5" x14ac:dyDescent="0.2">
      <c r="A342" s="39" t="s">
        <v>67</v>
      </c>
      <c r="B342" s="39" t="s">
        <v>60</v>
      </c>
      <c r="C342" s="39" t="s">
        <v>64</v>
      </c>
      <c r="D342" s="39">
        <v>16.170000000000002</v>
      </c>
      <c r="E342" s="39" t="s">
        <v>65</v>
      </c>
    </row>
    <row r="343" spans="1:5" x14ac:dyDescent="0.2">
      <c r="A343" s="39" t="s">
        <v>67</v>
      </c>
      <c r="B343" s="39" t="s">
        <v>60</v>
      </c>
      <c r="C343" s="39" t="s">
        <v>64</v>
      </c>
      <c r="D343" s="39">
        <v>20.77</v>
      </c>
      <c r="E343" s="39" t="s">
        <v>65</v>
      </c>
    </row>
    <row r="344" spans="1:5" x14ac:dyDescent="0.2">
      <c r="A344" s="39" t="s">
        <v>67</v>
      </c>
      <c r="B344" s="39" t="s">
        <v>60</v>
      </c>
      <c r="C344" s="39" t="s">
        <v>64</v>
      </c>
      <c r="D344" s="39">
        <v>16.98</v>
      </c>
      <c r="E344" s="39" t="s">
        <v>65</v>
      </c>
    </row>
    <row r="345" spans="1:5" x14ac:dyDescent="0.2">
      <c r="A345" s="39" t="s">
        <v>67</v>
      </c>
      <c r="B345" s="39" t="s">
        <v>60</v>
      </c>
      <c r="C345" s="39" t="s">
        <v>61</v>
      </c>
      <c r="D345" s="39">
        <v>19.3</v>
      </c>
      <c r="E345" s="39" t="s">
        <v>65</v>
      </c>
    </row>
    <row r="346" spans="1:5" x14ac:dyDescent="0.2">
      <c r="A346" s="39" t="s">
        <v>67</v>
      </c>
      <c r="B346" s="39" t="s">
        <v>60</v>
      </c>
      <c r="C346" s="39" t="s">
        <v>61</v>
      </c>
      <c r="D346" s="39">
        <v>16.14</v>
      </c>
      <c r="E346" s="39" t="s">
        <v>65</v>
      </c>
    </row>
    <row r="347" spans="1:5" x14ac:dyDescent="0.2">
      <c r="A347" s="39" t="s">
        <v>67</v>
      </c>
      <c r="B347" s="39" t="s">
        <v>63</v>
      </c>
      <c r="C347" s="39" t="s">
        <v>61</v>
      </c>
      <c r="D347" s="39">
        <v>21.85</v>
      </c>
      <c r="E347" s="39" t="s">
        <v>65</v>
      </c>
    </row>
    <row r="348" spans="1:5" x14ac:dyDescent="0.2">
      <c r="A348" s="39" t="s">
        <v>67</v>
      </c>
      <c r="B348" s="39" t="s">
        <v>63</v>
      </c>
      <c r="C348" s="39" t="s">
        <v>61</v>
      </c>
      <c r="D348" s="39">
        <v>21.99</v>
      </c>
      <c r="E348" s="39" t="s">
        <v>65</v>
      </c>
    </row>
    <row r="349" spans="1:5" x14ac:dyDescent="0.2">
      <c r="A349" s="39" t="s">
        <v>67</v>
      </c>
      <c r="B349" s="39" t="s">
        <v>60</v>
      </c>
      <c r="C349" s="39" t="s">
        <v>61</v>
      </c>
      <c r="D349" s="39">
        <v>18.73</v>
      </c>
      <c r="E349" s="39" t="s">
        <v>65</v>
      </c>
    </row>
    <row r="350" spans="1:5" x14ac:dyDescent="0.2">
      <c r="A350" s="39" t="s">
        <v>67</v>
      </c>
      <c r="B350" s="39" t="s">
        <v>60</v>
      </c>
      <c r="C350" s="39" t="s">
        <v>61</v>
      </c>
      <c r="D350" s="39">
        <v>23.7</v>
      </c>
      <c r="E350" s="39" t="s">
        <v>65</v>
      </c>
    </row>
    <row r="351" spans="1:5" x14ac:dyDescent="0.2">
      <c r="A351" s="39" t="s">
        <v>67</v>
      </c>
      <c r="B351" s="39" t="s">
        <v>60</v>
      </c>
      <c r="C351" s="39" t="s">
        <v>61</v>
      </c>
      <c r="D351" s="39">
        <v>18</v>
      </c>
      <c r="E351" s="39" t="s">
        <v>65</v>
      </c>
    </row>
    <row r="352" spans="1:5" x14ac:dyDescent="0.2">
      <c r="A352" s="39" t="s">
        <v>67</v>
      </c>
      <c r="B352" s="39" t="s">
        <v>60</v>
      </c>
      <c r="C352" s="39" t="s">
        <v>64</v>
      </c>
      <c r="D352" s="39">
        <v>19.579999999999998</v>
      </c>
      <c r="E352" s="39" t="s">
        <v>65</v>
      </c>
    </row>
    <row r="353" spans="1:5" x14ac:dyDescent="0.2">
      <c r="A353" s="39" t="s">
        <v>67</v>
      </c>
      <c r="B353" s="39" t="s">
        <v>60</v>
      </c>
      <c r="C353" s="39" t="s">
        <v>61</v>
      </c>
      <c r="D353" s="39">
        <v>19.739999999999998</v>
      </c>
      <c r="E353" s="39" t="s">
        <v>65</v>
      </c>
    </row>
    <row r="354" spans="1:5" x14ac:dyDescent="0.2">
      <c r="A354" s="39" t="s">
        <v>67</v>
      </c>
      <c r="B354" s="39" t="s">
        <v>60</v>
      </c>
      <c r="C354" s="39" t="s">
        <v>61</v>
      </c>
      <c r="D354" s="39">
        <v>24.6</v>
      </c>
      <c r="E354" s="39" t="s">
        <v>65</v>
      </c>
    </row>
    <row r="355" spans="1:5" x14ac:dyDescent="0.2">
      <c r="A355" s="39" t="s">
        <v>67</v>
      </c>
      <c r="B355" s="39" t="s">
        <v>63</v>
      </c>
      <c r="C355" s="39" t="s">
        <v>61</v>
      </c>
      <c r="D355" s="39">
        <v>21.22</v>
      </c>
      <c r="E355" s="39" t="s">
        <v>65</v>
      </c>
    </row>
    <row r="356" spans="1:5" x14ac:dyDescent="0.2">
      <c r="A356" s="39" t="s">
        <v>67</v>
      </c>
      <c r="B356" s="39" t="s">
        <v>63</v>
      </c>
      <c r="C356" s="39" t="s">
        <v>61</v>
      </c>
      <c r="D356" s="39">
        <v>19.43</v>
      </c>
      <c r="E356" s="39" t="s">
        <v>65</v>
      </c>
    </row>
    <row r="357" spans="1:5" x14ac:dyDescent="0.2">
      <c r="A357" s="39" t="s">
        <v>67</v>
      </c>
      <c r="B357" s="39" t="s">
        <v>60</v>
      </c>
      <c r="C357" s="39" t="s">
        <v>64</v>
      </c>
      <c r="D357" s="39">
        <v>21.43</v>
      </c>
      <c r="E357" s="39" t="s">
        <v>65</v>
      </c>
    </row>
    <row r="358" spans="1:5" x14ac:dyDescent="0.2">
      <c r="A358" s="39" t="s">
        <v>67</v>
      </c>
      <c r="B358" s="39" t="s">
        <v>63</v>
      </c>
      <c r="C358" s="39" t="s">
        <v>61</v>
      </c>
      <c r="D358" s="39">
        <v>17.87</v>
      </c>
      <c r="E358" s="39" t="s">
        <v>65</v>
      </c>
    </row>
    <row r="359" spans="1:5" x14ac:dyDescent="0.2">
      <c r="A359" s="39" t="s">
        <v>67</v>
      </c>
      <c r="B359" s="39" t="s">
        <v>63</v>
      </c>
      <c r="C359" s="39" t="s">
        <v>64</v>
      </c>
      <c r="D359" s="39">
        <v>17.829999999999998</v>
      </c>
      <c r="E359" s="39" t="s">
        <v>65</v>
      </c>
    </row>
    <row r="360" spans="1:5" x14ac:dyDescent="0.2">
      <c r="A360" s="39" t="s">
        <v>67</v>
      </c>
      <c r="B360" s="39" t="s">
        <v>63</v>
      </c>
      <c r="C360" s="39" t="s">
        <v>61</v>
      </c>
      <c r="D360" s="39">
        <v>15.96</v>
      </c>
      <c r="E360" s="39" t="s">
        <v>65</v>
      </c>
    </row>
    <row r="361" spans="1:5" x14ac:dyDescent="0.2">
      <c r="A361" s="39" t="s">
        <v>67</v>
      </c>
      <c r="B361" s="39" t="s">
        <v>60</v>
      </c>
      <c r="C361" s="39" t="s">
        <v>64</v>
      </c>
      <c r="D361" s="39">
        <v>17.41</v>
      </c>
      <c r="E361" s="39" t="s">
        <v>65</v>
      </c>
    </row>
    <row r="362" spans="1:5" x14ac:dyDescent="0.2">
      <c r="A362" s="39" t="s">
        <v>67</v>
      </c>
      <c r="B362" s="39" t="s">
        <v>60</v>
      </c>
      <c r="C362" s="39" t="s">
        <v>61</v>
      </c>
      <c r="D362" s="39">
        <v>16.97</v>
      </c>
      <c r="E362" s="39" t="s">
        <v>65</v>
      </c>
    </row>
    <row r="363" spans="1:5" x14ac:dyDescent="0.2">
      <c r="A363" s="39" t="s">
        <v>67</v>
      </c>
      <c r="B363" s="39" t="s">
        <v>63</v>
      </c>
      <c r="C363" s="39" t="s">
        <v>61</v>
      </c>
      <c r="D363" s="39">
        <v>24.71</v>
      </c>
      <c r="E363" s="39" t="s">
        <v>65</v>
      </c>
    </row>
    <row r="364" spans="1:5" x14ac:dyDescent="0.2">
      <c r="A364" s="39" t="s">
        <v>67</v>
      </c>
      <c r="B364" s="39" t="s">
        <v>60</v>
      </c>
      <c r="C364" s="39" t="s">
        <v>64</v>
      </c>
      <c r="D364" s="39">
        <v>19.52</v>
      </c>
      <c r="E364" s="39" t="s">
        <v>65</v>
      </c>
    </row>
    <row r="365" spans="1:5" x14ac:dyDescent="0.2">
      <c r="A365" s="39" t="s">
        <v>67</v>
      </c>
      <c r="B365" s="39" t="s">
        <v>60</v>
      </c>
      <c r="C365" s="39" t="s">
        <v>64</v>
      </c>
      <c r="D365" s="39">
        <v>18.809999999999999</v>
      </c>
      <c r="E365" s="39" t="s">
        <v>65</v>
      </c>
    </row>
    <row r="366" spans="1:5" x14ac:dyDescent="0.2">
      <c r="A366" s="39" t="s">
        <v>67</v>
      </c>
      <c r="B366" s="39" t="s">
        <v>63</v>
      </c>
      <c r="C366" s="39" t="s">
        <v>61</v>
      </c>
      <c r="D366" s="39">
        <v>18.29</v>
      </c>
      <c r="E366" s="39" t="s">
        <v>65</v>
      </c>
    </row>
    <row r="367" spans="1:5" x14ac:dyDescent="0.2">
      <c r="A367" s="39" t="s">
        <v>67</v>
      </c>
      <c r="B367" s="39" t="s">
        <v>63</v>
      </c>
      <c r="C367" s="39" t="s">
        <v>61</v>
      </c>
      <c r="D367" s="39">
        <v>20.63</v>
      </c>
      <c r="E367" s="39" t="s">
        <v>65</v>
      </c>
    </row>
    <row r="368" spans="1:5" x14ac:dyDescent="0.2">
      <c r="A368" s="39" t="s">
        <v>67</v>
      </c>
      <c r="B368" s="39" t="s">
        <v>60</v>
      </c>
      <c r="C368" s="39" t="s">
        <v>61</v>
      </c>
      <c r="D368" s="39">
        <v>21.75</v>
      </c>
      <c r="E368" s="39" t="s">
        <v>65</v>
      </c>
    </row>
    <row r="369" spans="1:5" x14ac:dyDescent="0.2">
      <c r="A369" s="39" t="s">
        <v>67</v>
      </c>
      <c r="B369" s="39" t="s">
        <v>60</v>
      </c>
      <c r="C369" s="39" t="s">
        <v>61</v>
      </c>
      <c r="D369" s="39">
        <v>19.64</v>
      </c>
      <c r="E369" s="39" t="s">
        <v>65</v>
      </c>
    </row>
    <row r="370" spans="1:5" x14ac:dyDescent="0.2">
      <c r="A370" s="39" t="s">
        <v>67</v>
      </c>
      <c r="B370" s="39" t="s">
        <v>60</v>
      </c>
      <c r="C370" s="39" t="s">
        <v>64</v>
      </c>
      <c r="D370" s="39">
        <v>18.440000000000001</v>
      </c>
      <c r="E370" s="39" t="s">
        <v>65</v>
      </c>
    </row>
    <row r="371" spans="1:5" x14ac:dyDescent="0.2">
      <c r="A371" s="39" t="s">
        <v>67</v>
      </c>
      <c r="B371" s="39" t="s">
        <v>60</v>
      </c>
      <c r="C371" s="39" t="s">
        <v>61</v>
      </c>
      <c r="D371" s="39">
        <v>16.86</v>
      </c>
      <c r="E371" s="39" t="s">
        <v>65</v>
      </c>
    </row>
    <row r="372" spans="1:5" x14ac:dyDescent="0.2">
      <c r="A372" s="39" t="s">
        <v>67</v>
      </c>
      <c r="B372" s="39" t="s">
        <v>60</v>
      </c>
      <c r="C372" s="39" t="s">
        <v>61</v>
      </c>
      <c r="D372" s="39">
        <v>19.97</v>
      </c>
      <c r="E372" s="39" t="s">
        <v>65</v>
      </c>
    </row>
    <row r="373" spans="1:5" x14ac:dyDescent="0.2">
      <c r="A373" s="39" t="s">
        <v>67</v>
      </c>
      <c r="B373" s="39" t="s">
        <v>60</v>
      </c>
      <c r="C373" s="39" t="s">
        <v>61</v>
      </c>
      <c r="D373" s="39">
        <v>24.8</v>
      </c>
      <c r="E373" s="39" t="s">
        <v>65</v>
      </c>
    </row>
    <row r="374" spans="1:5" x14ac:dyDescent="0.2">
      <c r="A374" s="39" t="s">
        <v>67</v>
      </c>
      <c r="B374" s="39" t="s">
        <v>60</v>
      </c>
      <c r="C374" s="39" t="s">
        <v>61</v>
      </c>
      <c r="D374" s="39">
        <v>23.97</v>
      </c>
      <c r="E374" s="39" t="s">
        <v>65</v>
      </c>
    </row>
    <row r="375" spans="1:5" x14ac:dyDescent="0.2">
      <c r="A375" s="39" t="s">
        <v>67</v>
      </c>
      <c r="B375" s="39" t="s">
        <v>60</v>
      </c>
      <c r="C375" s="39" t="s">
        <v>61</v>
      </c>
      <c r="D375" s="39">
        <v>19.96</v>
      </c>
      <c r="E375" s="39" t="s">
        <v>65</v>
      </c>
    </row>
    <row r="376" spans="1:5" x14ac:dyDescent="0.2">
      <c r="A376" s="39" t="s">
        <v>67</v>
      </c>
      <c r="B376" s="39" t="s">
        <v>60</v>
      </c>
      <c r="C376" s="39" t="s">
        <v>64</v>
      </c>
      <c r="D376" s="39">
        <v>23.64</v>
      </c>
      <c r="E376" s="39" t="s">
        <v>65</v>
      </c>
    </row>
    <row r="377" spans="1:5" x14ac:dyDescent="0.2">
      <c r="A377" s="39" t="s">
        <v>67</v>
      </c>
      <c r="B377" s="39" t="s">
        <v>63</v>
      </c>
      <c r="C377" s="39" t="s">
        <v>64</v>
      </c>
      <c r="D377" s="39">
        <v>23.88</v>
      </c>
      <c r="E377" s="39" t="s">
        <v>65</v>
      </c>
    </row>
    <row r="378" spans="1:5" x14ac:dyDescent="0.2">
      <c r="A378" s="39" t="s">
        <v>67</v>
      </c>
      <c r="B378" s="39" t="s">
        <v>60</v>
      </c>
      <c r="C378" s="39" t="s">
        <v>61</v>
      </c>
      <c r="D378" s="39">
        <v>18.600000000000001</v>
      </c>
      <c r="E378" s="39" t="s">
        <v>65</v>
      </c>
    </row>
    <row r="379" spans="1:5" x14ac:dyDescent="0.2">
      <c r="A379" s="39" t="s">
        <v>67</v>
      </c>
      <c r="B379" s="39" t="s">
        <v>60</v>
      </c>
      <c r="C379" s="39" t="s">
        <v>61</v>
      </c>
      <c r="D379" s="39">
        <v>20.58</v>
      </c>
      <c r="E379" s="39" t="s">
        <v>65</v>
      </c>
    </row>
    <row r="380" spans="1:5" x14ac:dyDescent="0.2">
      <c r="A380" s="39" t="s">
        <v>68</v>
      </c>
      <c r="B380" s="39" t="s">
        <v>60</v>
      </c>
      <c r="C380" s="39" t="s">
        <v>61</v>
      </c>
      <c r="D380" s="39">
        <v>15.33</v>
      </c>
      <c r="E380" s="39" t="s">
        <v>62</v>
      </c>
    </row>
    <row r="381" spans="1:5" x14ac:dyDescent="0.2">
      <c r="A381" s="39" t="s">
        <v>68</v>
      </c>
      <c r="B381" s="39" t="s">
        <v>63</v>
      </c>
      <c r="C381" s="39" t="s">
        <v>64</v>
      </c>
      <c r="D381" s="39">
        <v>24.45</v>
      </c>
      <c r="E381" s="39" t="s">
        <v>62</v>
      </c>
    </row>
    <row r="382" spans="1:5" x14ac:dyDescent="0.2">
      <c r="A382" s="39" t="s">
        <v>68</v>
      </c>
      <c r="B382" s="39" t="s">
        <v>60</v>
      </c>
      <c r="C382" s="39" t="s">
        <v>64</v>
      </c>
      <c r="D382" s="39">
        <v>18.12</v>
      </c>
      <c r="E382" s="39" t="s">
        <v>62</v>
      </c>
    </row>
    <row r="383" spans="1:5" x14ac:dyDescent="0.2">
      <c r="A383" s="39" t="s">
        <v>68</v>
      </c>
      <c r="B383" s="39" t="s">
        <v>60</v>
      </c>
      <c r="C383" s="39" t="s">
        <v>61</v>
      </c>
      <c r="D383" s="39">
        <v>20.22</v>
      </c>
      <c r="E383" s="39" t="s">
        <v>62</v>
      </c>
    </row>
    <row r="384" spans="1:5" x14ac:dyDescent="0.2">
      <c r="A384" s="39" t="s">
        <v>68</v>
      </c>
      <c r="B384" s="39" t="s">
        <v>63</v>
      </c>
      <c r="C384" s="39" t="s">
        <v>61</v>
      </c>
      <c r="D384" s="39">
        <v>18.55</v>
      </c>
      <c r="E384" s="39" t="s">
        <v>62</v>
      </c>
    </row>
    <row r="385" spans="1:5" x14ac:dyDescent="0.2">
      <c r="A385" s="39" t="s">
        <v>68</v>
      </c>
      <c r="B385" s="39" t="s">
        <v>63</v>
      </c>
      <c r="C385" s="39" t="s">
        <v>61</v>
      </c>
      <c r="D385" s="39">
        <v>217</v>
      </c>
      <c r="E385" s="39" t="s">
        <v>62</v>
      </c>
    </row>
    <row r="386" spans="1:5" x14ac:dyDescent="0.2">
      <c r="A386" s="39" t="s">
        <v>68</v>
      </c>
      <c r="B386" s="39" t="s">
        <v>60</v>
      </c>
      <c r="C386" s="39" t="s">
        <v>61</v>
      </c>
      <c r="D386" s="39">
        <v>150.99</v>
      </c>
      <c r="E386" s="39" t="s">
        <v>62</v>
      </c>
    </row>
    <row r="387" spans="1:5" x14ac:dyDescent="0.2">
      <c r="A387" s="39" t="s">
        <v>68</v>
      </c>
      <c r="B387" s="39" t="s">
        <v>63</v>
      </c>
      <c r="C387" s="39" t="s">
        <v>61</v>
      </c>
      <c r="D387" s="39">
        <v>23.81</v>
      </c>
      <c r="E387" s="39" t="s">
        <v>62</v>
      </c>
    </row>
    <row r="388" spans="1:5" x14ac:dyDescent="0.2">
      <c r="A388" s="39" t="s">
        <v>68</v>
      </c>
      <c r="B388" s="39" t="s">
        <v>60</v>
      </c>
      <c r="C388" s="39" t="s">
        <v>61</v>
      </c>
      <c r="D388" s="39">
        <v>15.87</v>
      </c>
      <c r="E388" s="39" t="s">
        <v>62</v>
      </c>
    </row>
    <row r="389" spans="1:5" x14ac:dyDescent="0.2">
      <c r="A389" s="39" t="s">
        <v>68</v>
      </c>
      <c r="B389" s="39" t="s">
        <v>60</v>
      </c>
      <c r="C389" s="39" t="s">
        <v>61</v>
      </c>
      <c r="D389" s="39">
        <v>21.15</v>
      </c>
      <c r="E389" s="39" t="s">
        <v>62</v>
      </c>
    </row>
    <row r="390" spans="1:5" x14ac:dyDescent="0.2">
      <c r="A390" s="39" t="s">
        <v>68</v>
      </c>
      <c r="B390" s="39" t="s">
        <v>60</v>
      </c>
      <c r="C390" s="39" t="s">
        <v>61</v>
      </c>
      <c r="D390" s="39">
        <v>15.58</v>
      </c>
      <c r="E390" s="39" t="s">
        <v>62</v>
      </c>
    </row>
    <row r="391" spans="1:5" x14ac:dyDescent="0.2">
      <c r="A391" s="39" t="s">
        <v>68</v>
      </c>
      <c r="B391" s="39" t="s">
        <v>60</v>
      </c>
      <c r="C391" s="39" t="s">
        <v>64</v>
      </c>
      <c r="D391" s="39">
        <v>229.73</v>
      </c>
      <c r="E391" s="39" t="s">
        <v>62</v>
      </c>
    </row>
    <row r="392" spans="1:5" x14ac:dyDescent="0.2">
      <c r="A392" s="39" t="s">
        <v>68</v>
      </c>
      <c r="B392" s="39" t="s">
        <v>60</v>
      </c>
      <c r="C392" s="39" t="s">
        <v>64</v>
      </c>
      <c r="D392" s="39">
        <v>17.77</v>
      </c>
      <c r="E392" s="39" t="s">
        <v>62</v>
      </c>
    </row>
    <row r="393" spans="1:5" x14ac:dyDescent="0.2">
      <c r="A393" s="39" t="s">
        <v>68</v>
      </c>
      <c r="B393" s="39" t="s">
        <v>60</v>
      </c>
      <c r="C393" s="39" t="s">
        <v>61</v>
      </c>
      <c r="D393" s="39">
        <v>21.55</v>
      </c>
      <c r="E393" s="39" t="s">
        <v>62</v>
      </c>
    </row>
    <row r="394" spans="1:5" x14ac:dyDescent="0.2">
      <c r="A394" s="39" t="s">
        <v>68</v>
      </c>
      <c r="B394" s="39" t="s">
        <v>60</v>
      </c>
      <c r="C394" s="39" t="s">
        <v>64</v>
      </c>
      <c r="D394" s="39">
        <v>15.33</v>
      </c>
      <c r="E394" s="39" t="s">
        <v>62</v>
      </c>
    </row>
    <row r="395" spans="1:5" x14ac:dyDescent="0.2">
      <c r="A395" s="39" t="s">
        <v>68</v>
      </c>
      <c r="B395" s="39" t="s">
        <v>60</v>
      </c>
      <c r="C395" s="39" t="s">
        <v>61</v>
      </c>
      <c r="D395" s="39">
        <v>19.04</v>
      </c>
      <c r="E395" s="39" t="s">
        <v>62</v>
      </c>
    </row>
    <row r="396" spans="1:5" x14ac:dyDescent="0.2">
      <c r="A396" s="39" t="s">
        <v>68</v>
      </c>
      <c r="B396" s="39" t="s">
        <v>63</v>
      </c>
      <c r="C396" s="39" t="s">
        <v>61</v>
      </c>
      <c r="D396" s="39">
        <v>15.71</v>
      </c>
      <c r="E396" s="39" t="s">
        <v>62</v>
      </c>
    </row>
    <row r="397" spans="1:5" x14ac:dyDescent="0.2">
      <c r="A397" s="39" t="s">
        <v>68</v>
      </c>
      <c r="B397" s="39" t="s">
        <v>60</v>
      </c>
      <c r="C397" s="39" t="s">
        <v>61</v>
      </c>
      <c r="D397" s="39">
        <v>17.329999999999998</v>
      </c>
      <c r="E397" s="39" t="s">
        <v>62</v>
      </c>
    </row>
    <row r="398" spans="1:5" x14ac:dyDescent="0.2">
      <c r="A398" s="39" t="s">
        <v>68</v>
      </c>
      <c r="B398" s="39" t="s">
        <v>63</v>
      </c>
      <c r="C398" s="39" t="s">
        <v>61</v>
      </c>
      <c r="D398" s="39">
        <v>15.18</v>
      </c>
      <c r="E398" s="39" t="s">
        <v>62</v>
      </c>
    </row>
    <row r="399" spans="1:5" x14ac:dyDescent="0.2">
      <c r="A399" s="39" t="s">
        <v>68</v>
      </c>
      <c r="B399" s="39" t="s">
        <v>60</v>
      </c>
      <c r="C399" s="39" t="s">
        <v>61</v>
      </c>
      <c r="D399" s="39">
        <v>22.46</v>
      </c>
      <c r="E399" s="39" t="s">
        <v>62</v>
      </c>
    </row>
    <row r="400" spans="1:5" x14ac:dyDescent="0.2">
      <c r="A400" s="39" t="s">
        <v>68</v>
      </c>
      <c r="B400" s="39" t="s">
        <v>60</v>
      </c>
      <c r="C400" s="39" t="s">
        <v>61</v>
      </c>
      <c r="D400" s="39">
        <v>21.5</v>
      </c>
      <c r="E400" s="39" t="s">
        <v>62</v>
      </c>
    </row>
    <row r="401" spans="1:5" x14ac:dyDescent="0.2">
      <c r="A401" s="39" t="s">
        <v>68</v>
      </c>
      <c r="B401" s="39" t="s">
        <v>60</v>
      </c>
      <c r="C401" s="39" t="s">
        <v>61</v>
      </c>
      <c r="D401" s="39">
        <v>19.37</v>
      </c>
      <c r="E401" s="39" t="s">
        <v>62</v>
      </c>
    </row>
    <row r="402" spans="1:5" x14ac:dyDescent="0.2">
      <c r="A402" s="39" t="s">
        <v>68</v>
      </c>
      <c r="B402" s="39" t="s">
        <v>60</v>
      </c>
      <c r="C402" s="39" t="s">
        <v>64</v>
      </c>
      <c r="D402" s="39">
        <v>241.77</v>
      </c>
      <c r="E402" s="39" t="s">
        <v>62</v>
      </c>
    </row>
    <row r="403" spans="1:5" x14ac:dyDescent="0.2">
      <c r="A403" s="39" t="s">
        <v>68</v>
      </c>
      <c r="B403" s="39" t="s">
        <v>60</v>
      </c>
      <c r="C403" s="39" t="s">
        <v>61</v>
      </c>
      <c r="D403" s="39">
        <v>21.88</v>
      </c>
      <c r="E403" s="39" t="s">
        <v>62</v>
      </c>
    </row>
    <row r="404" spans="1:5" x14ac:dyDescent="0.2">
      <c r="A404" s="39" t="s">
        <v>68</v>
      </c>
      <c r="B404" s="39" t="s">
        <v>60</v>
      </c>
      <c r="C404" s="39" t="s">
        <v>64</v>
      </c>
      <c r="D404" s="39">
        <v>24.86</v>
      </c>
      <c r="E404" s="39" t="s">
        <v>62</v>
      </c>
    </row>
    <row r="405" spans="1:5" x14ac:dyDescent="0.2">
      <c r="A405" s="39" t="s">
        <v>68</v>
      </c>
      <c r="B405" s="39" t="s">
        <v>60</v>
      </c>
      <c r="C405" s="39" t="s">
        <v>61</v>
      </c>
      <c r="D405" s="39">
        <v>19.760000000000002</v>
      </c>
      <c r="E405" s="39" t="s">
        <v>62</v>
      </c>
    </row>
    <row r="406" spans="1:5" x14ac:dyDescent="0.2">
      <c r="A406" s="39" t="s">
        <v>68</v>
      </c>
      <c r="B406" s="39" t="s">
        <v>60</v>
      </c>
      <c r="C406" s="39" t="s">
        <v>64</v>
      </c>
      <c r="D406" s="39">
        <v>242.52</v>
      </c>
      <c r="E406" s="39" t="s">
        <v>62</v>
      </c>
    </row>
    <row r="407" spans="1:5" x14ac:dyDescent="0.2">
      <c r="A407" s="39" t="s">
        <v>68</v>
      </c>
      <c r="B407" s="39" t="s">
        <v>63</v>
      </c>
      <c r="C407" s="39" t="s">
        <v>61</v>
      </c>
      <c r="D407" s="39">
        <v>24.16</v>
      </c>
      <c r="E407" s="39" t="s">
        <v>62</v>
      </c>
    </row>
    <row r="408" spans="1:5" x14ac:dyDescent="0.2">
      <c r="A408" s="39" t="s">
        <v>68</v>
      </c>
      <c r="B408" s="39" t="s">
        <v>63</v>
      </c>
      <c r="C408" s="39" t="s">
        <v>61</v>
      </c>
      <c r="D408" s="39">
        <v>23.6</v>
      </c>
      <c r="E408" s="39" t="s">
        <v>62</v>
      </c>
    </row>
    <row r="409" spans="1:5" x14ac:dyDescent="0.2">
      <c r="A409" s="39" t="s">
        <v>68</v>
      </c>
      <c r="B409" s="39" t="s">
        <v>60</v>
      </c>
      <c r="C409" s="39" t="s">
        <v>61</v>
      </c>
      <c r="D409" s="39">
        <v>23.2</v>
      </c>
      <c r="E409" s="39" t="s">
        <v>62</v>
      </c>
    </row>
    <row r="410" spans="1:5" x14ac:dyDescent="0.2">
      <c r="A410" s="39" t="s">
        <v>68</v>
      </c>
      <c r="B410" s="39" t="s">
        <v>60</v>
      </c>
      <c r="C410" s="39" t="s">
        <v>61</v>
      </c>
      <c r="D410" s="39">
        <v>157.86000000000001</v>
      </c>
      <c r="E410" s="39" t="s">
        <v>62</v>
      </c>
    </row>
    <row r="411" spans="1:5" x14ac:dyDescent="0.2">
      <c r="A411" s="39" t="s">
        <v>68</v>
      </c>
      <c r="B411" s="39" t="s">
        <v>60</v>
      </c>
      <c r="C411" s="39" t="s">
        <v>61</v>
      </c>
      <c r="D411" s="39">
        <v>22.12</v>
      </c>
      <c r="E411" s="39" t="s">
        <v>62</v>
      </c>
    </row>
    <row r="412" spans="1:5" x14ac:dyDescent="0.2">
      <c r="A412" s="39" t="s">
        <v>68</v>
      </c>
      <c r="B412" s="39" t="s">
        <v>60</v>
      </c>
      <c r="C412" s="39" t="s">
        <v>61</v>
      </c>
      <c r="D412" s="39">
        <v>24.77</v>
      </c>
      <c r="E412" s="39" t="s">
        <v>62</v>
      </c>
    </row>
    <row r="413" spans="1:5" x14ac:dyDescent="0.2">
      <c r="A413" s="39" t="s">
        <v>68</v>
      </c>
      <c r="B413" s="39" t="s">
        <v>60</v>
      </c>
      <c r="C413" s="39" t="s">
        <v>61</v>
      </c>
      <c r="D413" s="39">
        <v>16.899999999999999</v>
      </c>
      <c r="E413" s="39" t="s">
        <v>62</v>
      </c>
    </row>
    <row r="414" spans="1:5" x14ac:dyDescent="0.2">
      <c r="A414" s="39" t="s">
        <v>68</v>
      </c>
      <c r="B414" s="39" t="s">
        <v>63</v>
      </c>
      <c r="C414" s="39" t="s">
        <v>61</v>
      </c>
      <c r="D414" s="39">
        <v>16.47</v>
      </c>
      <c r="E414" s="39" t="s">
        <v>62</v>
      </c>
    </row>
    <row r="415" spans="1:5" x14ac:dyDescent="0.2">
      <c r="A415" s="39" t="s">
        <v>68</v>
      </c>
      <c r="B415" s="39" t="s">
        <v>63</v>
      </c>
      <c r="C415" s="39" t="s">
        <v>61</v>
      </c>
      <c r="D415" s="39">
        <v>222.38</v>
      </c>
      <c r="E415" s="39" t="s">
        <v>62</v>
      </c>
    </row>
    <row r="416" spans="1:5" x14ac:dyDescent="0.2">
      <c r="A416" s="39" t="s">
        <v>68</v>
      </c>
      <c r="B416" s="39" t="s">
        <v>63</v>
      </c>
      <c r="C416" s="39" t="s">
        <v>61</v>
      </c>
      <c r="D416" s="39">
        <v>188.85</v>
      </c>
      <c r="E416" s="39" t="s">
        <v>62</v>
      </c>
    </row>
    <row r="417" spans="1:5" x14ac:dyDescent="0.2">
      <c r="A417" s="39" t="s">
        <v>68</v>
      </c>
      <c r="B417" s="39" t="s">
        <v>60</v>
      </c>
      <c r="C417" s="39" t="s">
        <v>61</v>
      </c>
      <c r="D417" s="39">
        <v>18.57</v>
      </c>
      <c r="E417" s="39" t="s">
        <v>62</v>
      </c>
    </row>
    <row r="418" spans="1:5" x14ac:dyDescent="0.2">
      <c r="A418" s="39" t="s">
        <v>68</v>
      </c>
      <c r="B418" s="39" t="s">
        <v>60</v>
      </c>
      <c r="C418" s="39" t="s">
        <v>64</v>
      </c>
      <c r="D418" s="39">
        <v>19.13</v>
      </c>
      <c r="E418" s="39" t="s">
        <v>62</v>
      </c>
    </row>
    <row r="419" spans="1:5" x14ac:dyDescent="0.2">
      <c r="A419" s="39" t="s">
        <v>68</v>
      </c>
      <c r="B419" s="39" t="s">
        <v>60</v>
      </c>
      <c r="C419" s="39" t="s">
        <v>61</v>
      </c>
      <c r="D419" s="39">
        <v>23.31</v>
      </c>
      <c r="E419" s="39" t="s">
        <v>62</v>
      </c>
    </row>
    <row r="420" spans="1:5" x14ac:dyDescent="0.2">
      <c r="A420" s="39" t="s">
        <v>68</v>
      </c>
      <c r="B420" s="39" t="s">
        <v>60</v>
      </c>
      <c r="C420" s="39" t="s">
        <v>64</v>
      </c>
      <c r="D420" s="39">
        <v>188.16</v>
      </c>
      <c r="E420" s="39" t="s">
        <v>62</v>
      </c>
    </row>
    <row r="421" spans="1:5" x14ac:dyDescent="0.2">
      <c r="A421" s="39" t="s">
        <v>68</v>
      </c>
      <c r="B421" s="39" t="s">
        <v>60</v>
      </c>
      <c r="C421" s="39" t="s">
        <v>61</v>
      </c>
      <c r="D421" s="39">
        <v>246.67</v>
      </c>
      <c r="E421" s="39" t="s">
        <v>62</v>
      </c>
    </row>
    <row r="422" spans="1:5" x14ac:dyDescent="0.2">
      <c r="A422" s="39" t="s">
        <v>68</v>
      </c>
      <c r="B422" s="39" t="s">
        <v>60</v>
      </c>
      <c r="C422" s="39" t="s">
        <v>61</v>
      </c>
      <c r="D422" s="39">
        <v>20.97</v>
      </c>
      <c r="E422" s="39" t="s">
        <v>62</v>
      </c>
    </row>
    <row r="423" spans="1:5" x14ac:dyDescent="0.2">
      <c r="A423" s="39" t="s">
        <v>68</v>
      </c>
      <c r="B423" s="39" t="s">
        <v>60</v>
      </c>
      <c r="C423" s="39" t="s">
        <v>64</v>
      </c>
      <c r="D423" s="39">
        <v>16.52</v>
      </c>
      <c r="E423" s="39" t="s">
        <v>62</v>
      </c>
    </row>
    <row r="424" spans="1:5" x14ac:dyDescent="0.2">
      <c r="A424" s="39" t="s">
        <v>68</v>
      </c>
      <c r="B424" s="39" t="s">
        <v>60</v>
      </c>
      <c r="C424" s="39" t="s">
        <v>64</v>
      </c>
      <c r="D424" s="39">
        <v>22.31</v>
      </c>
      <c r="E424" s="39" t="s">
        <v>62</v>
      </c>
    </row>
    <row r="425" spans="1:5" x14ac:dyDescent="0.2">
      <c r="A425" s="39" t="s">
        <v>68</v>
      </c>
      <c r="B425" s="39" t="s">
        <v>60</v>
      </c>
      <c r="C425" s="39" t="s">
        <v>61</v>
      </c>
      <c r="D425" s="39">
        <v>17.350000000000001</v>
      </c>
      <c r="E425" s="39" t="s">
        <v>62</v>
      </c>
    </row>
    <row r="426" spans="1:5" x14ac:dyDescent="0.2">
      <c r="A426" s="39" t="s">
        <v>68</v>
      </c>
      <c r="B426" s="39" t="s">
        <v>60</v>
      </c>
      <c r="C426" s="39" t="s">
        <v>64</v>
      </c>
      <c r="D426" s="39">
        <v>18.14</v>
      </c>
      <c r="E426" s="39" t="s">
        <v>62</v>
      </c>
    </row>
    <row r="427" spans="1:5" x14ac:dyDescent="0.2">
      <c r="A427" s="39" t="s">
        <v>68</v>
      </c>
      <c r="B427" s="39" t="s">
        <v>60</v>
      </c>
      <c r="C427" s="39" t="s">
        <v>64</v>
      </c>
      <c r="D427" s="39">
        <v>18.25</v>
      </c>
      <c r="E427" s="39" t="s">
        <v>62</v>
      </c>
    </row>
    <row r="428" spans="1:5" x14ac:dyDescent="0.2">
      <c r="A428" s="39" t="s">
        <v>68</v>
      </c>
      <c r="B428" s="39" t="s">
        <v>60</v>
      </c>
      <c r="C428" s="39" t="s">
        <v>61</v>
      </c>
      <c r="D428" s="39">
        <v>203.72</v>
      </c>
      <c r="E428" s="39" t="s">
        <v>62</v>
      </c>
    </row>
    <row r="429" spans="1:5" x14ac:dyDescent="0.2">
      <c r="A429" s="39" t="s">
        <v>68</v>
      </c>
      <c r="B429" s="39" t="s">
        <v>63</v>
      </c>
      <c r="C429" s="39" t="s">
        <v>61</v>
      </c>
      <c r="D429" s="39">
        <v>19.989999999999998</v>
      </c>
      <c r="E429" s="39" t="s">
        <v>62</v>
      </c>
    </row>
    <row r="430" spans="1:5" x14ac:dyDescent="0.2">
      <c r="A430" s="39" t="s">
        <v>68</v>
      </c>
      <c r="B430" s="39" t="s">
        <v>60</v>
      </c>
      <c r="C430" s="39" t="s">
        <v>61</v>
      </c>
      <c r="D430" s="39">
        <v>197.43</v>
      </c>
      <c r="E430" s="39" t="s">
        <v>62</v>
      </c>
    </row>
    <row r="431" spans="1:5" x14ac:dyDescent="0.2">
      <c r="A431" s="39" t="s">
        <v>68</v>
      </c>
      <c r="B431" s="39" t="s">
        <v>63</v>
      </c>
      <c r="C431" s="39" t="s">
        <v>64</v>
      </c>
      <c r="D431" s="39">
        <v>21.68</v>
      </c>
      <c r="E431" s="39" t="s">
        <v>62</v>
      </c>
    </row>
    <row r="432" spans="1:5" x14ac:dyDescent="0.2">
      <c r="A432" s="39" t="s">
        <v>68</v>
      </c>
      <c r="B432" s="39" t="s">
        <v>63</v>
      </c>
      <c r="C432" s="39" t="s">
        <v>64</v>
      </c>
      <c r="D432" s="39">
        <v>15.27</v>
      </c>
      <c r="E432" s="39" t="s">
        <v>62</v>
      </c>
    </row>
    <row r="433" spans="1:5" x14ac:dyDescent="0.2">
      <c r="A433" s="39" t="s">
        <v>68</v>
      </c>
      <c r="B433" s="39" t="s">
        <v>63</v>
      </c>
      <c r="C433" s="39" t="s">
        <v>64</v>
      </c>
      <c r="D433" s="39">
        <v>19.79</v>
      </c>
      <c r="E433" s="39" t="s">
        <v>62</v>
      </c>
    </row>
    <row r="434" spans="1:5" x14ac:dyDescent="0.2">
      <c r="A434" s="39" t="s">
        <v>68</v>
      </c>
      <c r="B434" s="39" t="s">
        <v>60</v>
      </c>
      <c r="C434" s="39" t="s">
        <v>64</v>
      </c>
      <c r="D434" s="39">
        <v>21.54</v>
      </c>
      <c r="E434" s="39" t="s">
        <v>62</v>
      </c>
    </row>
    <row r="435" spans="1:5" x14ac:dyDescent="0.2">
      <c r="A435" s="39" t="s">
        <v>68</v>
      </c>
      <c r="B435" s="39" t="s">
        <v>63</v>
      </c>
      <c r="C435" s="39" t="s">
        <v>64</v>
      </c>
      <c r="D435" s="39">
        <v>16.32</v>
      </c>
      <c r="E435" s="39" t="s">
        <v>62</v>
      </c>
    </row>
    <row r="436" spans="1:5" x14ac:dyDescent="0.2">
      <c r="A436" s="39" t="s">
        <v>68</v>
      </c>
      <c r="B436" s="39" t="s">
        <v>63</v>
      </c>
      <c r="C436" s="39" t="s">
        <v>61</v>
      </c>
      <c r="D436" s="39">
        <v>18.53</v>
      </c>
      <c r="E436" s="39" t="s">
        <v>62</v>
      </c>
    </row>
    <row r="437" spans="1:5" x14ac:dyDescent="0.2">
      <c r="A437" s="39" t="s">
        <v>68</v>
      </c>
      <c r="B437" s="39" t="s">
        <v>60</v>
      </c>
      <c r="C437" s="39" t="s">
        <v>61</v>
      </c>
      <c r="D437" s="39">
        <v>18.399999999999999</v>
      </c>
      <c r="E437" s="39" t="s">
        <v>62</v>
      </c>
    </row>
    <row r="438" spans="1:5" x14ac:dyDescent="0.2">
      <c r="A438" s="39" t="s">
        <v>68</v>
      </c>
      <c r="B438" s="39" t="s">
        <v>60</v>
      </c>
      <c r="C438" s="39" t="s">
        <v>64</v>
      </c>
      <c r="D438" s="39">
        <v>23.06</v>
      </c>
      <c r="E438" s="39" t="s">
        <v>62</v>
      </c>
    </row>
    <row r="439" spans="1:5" x14ac:dyDescent="0.2">
      <c r="A439" s="39" t="s">
        <v>68</v>
      </c>
      <c r="B439" s="39" t="s">
        <v>60</v>
      </c>
      <c r="C439" s="39" t="s">
        <v>61</v>
      </c>
      <c r="D439" s="39">
        <v>231.23</v>
      </c>
      <c r="E439" s="39" t="s">
        <v>62</v>
      </c>
    </row>
    <row r="440" spans="1:5" x14ac:dyDescent="0.2">
      <c r="A440" s="39" t="s">
        <v>68</v>
      </c>
      <c r="B440" s="39" t="s">
        <v>63</v>
      </c>
      <c r="C440" s="39" t="s">
        <v>61</v>
      </c>
      <c r="D440" s="39">
        <v>20.68</v>
      </c>
      <c r="E440" s="39" t="s">
        <v>62</v>
      </c>
    </row>
    <row r="441" spans="1:5" x14ac:dyDescent="0.2">
      <c r="A441" s="39" t="s">
        <v>68</v>
      </c>
      <c r="B441" s="39" t="s">
        <v>60</v>
      </c>
      <c r="C441" s="39" t="s">
        <v>61</v>
      </c>
      <c r="D441" s="39">
        <v>19.100000000000001</v>
      </c>
      <c r="E441" s="39" t="s">
        <v>62</v>
      </c>
    </row>
    <row r="442" spans="1:5" x14ac:dyDescent="0.2">
      <c r="A442" s="39" t="s">
        <v>68</v>
      </c>
      <c r="B442" s="39" t="s">
        <v>63</v>
      </c>
      <c r="C442" s="39" t="s">
        <v>61</v>
      </c>
      <c r="D442" s="39">
        <v>23.39</v>
      </c>
      <c r="E442" s="39" t="s">
        <v>65</v>
      </c>
    </row>
    <row r="443" spans="1:5" x14ac:dyDescent="0.2">
      <c r="A443" s="39" t="s">
        <v>68</v>
      </c>
      <c r="B443" s="39" t="s">
        <v>63</v>
      </c>
      <c r="C443" s="39" t="s">
        <v>61</v>
      </c>
      <c r="D443" s="39">
        <v>19.66</v>
      </c>
      <c r="E443" s="39" t="s">
        <v>65</v>
      </c>
    </row>
    <row r="444" spans="1:5" x14ac:dyDescent="0.2">
      <c r="A444" s="39" t="s">
        <v>68</v>
      </c>
      <c r="B444" s="39" t="s">
        <v>60</v>
      </c>
      <c r="C444" s="39" t="s">
        <v>64</v>
      </c>
      <c r="D444" s="39">
        <v>20.13</v>
      </c>
      <c r="E444" s="39" t="s">
        <v>65</v>
      </c>
    </row>
    <row r="445" spans="1:5" x14ac:dyDescent="0.2">
      <c r="A445" s="39" t="s">
        <v>68</v>
      </c>
      <c r="B445" s="39" t="s">
        <v>60</v>
      </c>
      <c r="C445" s="39" t="s">
        <v>61</v>
      </c>
      <c r="D445" s="39">
        <v>21.94</v>
      </c>
      <c r="E445" s="39" t="s">
        <v>65</v>
      </c>
    </row>
    <row r="446" spans="1:5" x14ac:dyDescent="0.2">
      <c r="A446" s="39" t="s">
        <v>68</v>
      </c>
      <c r="B446" s="39" t="s">
        <v>60</v>
      </c>
      <c r="C446" s="39" t="s">
        <v>61</v>
      </c>
      <c r="D446" s="39">
        <v>22.21</v>
      </c>
      <c r="E446" s="39" t="s">
        <v>65</v>
      </c>
    </row>
    <row r="447" spans="1:5" x14ac:dyDescent="0.2">
      <c r="A447" s="39" t="s">
        <v>68</v>
      </c>
      <c r="B447" s="39" t="s">
        <v>63</v>
      </c>
      <c r="C447" s="39" t="s">
        <v>61</v>
      </c>
      <c r="D447" s="39">
        <v>22.06</v>
      </c>
      <c r="E447" s="39" t="s">
        <v>65</v>
      </c>
    </row>
    <row r="448" spans="1:5" x14ac:dyDescent="0.2">
      <c r="A448" s="39" t="s">
        <v>68</v>
      </c>
      <c r="B448" s="39" t="s">
        <v>63</v>
      </c>
      <c r="C448" s="39" t="s">
        <v>61</v>
      </c>
      <c r="D448" s="39">
        <v>20.6</v>
      </c>
      <c r="E448" s="39" t="s">
        <v>65</v>
      </c>
    </row>
    <row r="449" spans="1:5" x14ac:dyDescent="0.2">
      <c r="A449" s="39" t="s">
        <v>68</v>
      </c>
      <c r="B449" s="39" t="s">
        <v>63</v>
      </c>
      <c r="C449" s="39" t="s">
        <v>64</v>
      </c>
      <c r="D449" s="39">
        <v>19.3</v>
      </c>
      <c r="E449" s="39" t="s">
        <v>65</v>
      </c>
    </row>
    <row r="450" spans="1:5" x14ac:dyDescent="0.2">
      <c r="A450" s="39" t="s">
        <v>68</v>
      </c>
      <c r="B450" s="39" t="s">
        <v>63</v>
      </c>
      <c r="C450" s="39" t="s">
        <v>61</v>
      </c>
      <c r="D450" s="39">
        <v>22.37</v>
      </c>
      <c r="E450" s="39" t="s">
        <v>65</v>
      </c>
    </row>
    <row r="451" spans="1:5" x14ac:dyDescent="0.2">
      <c r="A451" s="39" t="s">
        <v>68</v>
      </c>
      <c r="B451" s="39" t="s">
        <v>60</v>
      </c>
      <c r="C451" s="39" t="s">
        <v>64</v>
      </c>
      <c r="D451" s="39">
        <v>22.17</v>
      </c>
      <c r="E451" s="39" t="s">
        <v>65</v>
      </c>
    </row>
    <row r="452" spans="1:5" x14ac:dyDescent="0.2">
      <c r="A452" s="39" t="s">
        <v>68</v>
      </c>
      <c r="B452" s="39" t="s">
        <v>60</v>
      </c>
      <c r="C452" s="39" t="s">
        <v>61</v>
      </c>
      <c r="D452" s="39">
        <v>17.7</v>
      </c>
      <c r="E452" s="39" t="s">
        <v>65</v>
      </c>
    </row>
    <row r="453" spans="1:5" x14ac:dyDescent="0.2">
      <c r="A453" s="39" t="s">
        <v>68</v>
      </c>
      <c r="B453" s="39" t="s">
        <v>63</v>
      </c>
      <c r="C453" s="39" t="s">
        <v>61</v>
      </c>
      <c r="D453" s="39">
        <v>16.32</v>
      </c>
      <c r="E453" s="39" t="s">
        <v>65</v>
      </c>
    </row>
    <row r="454" spans="1:5" x14ac:dyDescent="0.2">
      <c r="A454" s="39" t="s">
        <v>68</v>
      </c>
      <c r="B454" s="39" t="s">
        <v>60</v>
      </c>
      <c r="C454" s="39" t="s">
        <v>61</v>
      </c>
      <c r="D454" s="39">
        <v>17.27</v>
      </c>
      <c r="E454" s="39" t="s">
        <v>65</v>
      </c>
    </row>
    <row r="455" spans="1:5" x14ac:dyDescent="0.2">
      <c r="A455" s="39" t="s">
        <v>68</v>
      </c>
      <c r="B455" s="39" t="s">
        <v>60</v>
      </c>
      <c r="C455" s="39" t="s">
        <v>61</v>
      </c>
      <c r="D455" s="39">
        <v>18.75</v>
      </c>
      <c r="E455" s="39" t="s">
        <v>65</v>
      </c>
    </row>
    <row r="456" spans="1:5" x14ac:dyDescent="0.2">
      <c r="A456" s="39" t="s">
        <v>68</v>
      </c>
      <c r="B456" s="39" t="s">
        <v>63</v>
      </c>
      <c r="C456" s="39" t="s">
        <v>61</v>
      </c>
      <c r="D456" s="39">
        <v>20.87</v>
      </c>
      <c r="E456" s="39" t="s">
        <v>65</v>
      </c>
    </row>
    <row r="457" spans="1:5" x14ac:dyDescent="0.2">
      <c r="A457" s="39" t="s">
        <v>68</v>
      </c>
      <c r="B457" s="39" t="s">
        <v>63</v>
      </c>
      <c r="C457" s="39" t="s">
        <v>61</v>
      </c>
      <c r="D457" s="39">
        <v>19.690000000000001</v>
      </c>
      <c r="E457" s="39" t="s">
        <v>65</v>
      </c>
    </row>
    <row r="458" spans="1:5" x14ac:dyDescent="0.2">
      <c r="A458" s="39" t="s">
        <v>68</v>
      </c>
      <c r="B458" s="39" t="s">
        <v>60</v>
      </c>
      <c r="C458" s="39" t="s">
        <v>64</v>
      </c>
      <c r="D458" s="39">
        <v>21.92</v>
      </c>
      <c r="E458" s="39" t="s">
        <v>65</v>
      </c>
    </row>
    <row r="459" spans="1:5" x14ac:dyDescent="0.2">
      <c r="A459" s="39" t="s">
        <v>68</v>
      </c>
      <c r="B459" s="39" t="s">
        <v>63</v>
      </c>
      <c r="C459" s="39" t="s">
        <v>61</v>
      </c>
      <c r="D459" s="39">
        <v>24.52</v>
      </c>
      <c r="E459" s="39" t="s">
        <v>65</v>
      </c>
    </row>
    <row r="460" spans="1:5" x14ac:dyDescent="0.2">
      <c r="A460" s="39" t="s">
        <v>68</v>
      </c>
      <c r="B460" s="39" t="s">
        <v>60</v>
      </c>
      <c r="C460" s="39" t="s">
        <v>61</v>
      </c>
      <c r="D460" s="39">
        <v>15.35</v>
      </c>
      <c r="E460" s="39" t="s">
        <v>65</v>
      </c>
    </row>
    <row r="461" spans="1:5" x14ac:dyDescent="0.2">
      <c r="A461" s="39" t="s">
        <v>68</v>
      </c>
      <c r="B461" s="39" t="s">
        <v>60</v>
      </c>
      <c r="C461" s="39" t="s">
        <v>61</v>
      </c>
      <c r="D461" s="39">
        <v>23.91</v>
      </c>
      <c r="E461" s="39" t="s">
        <v>65</v>
      </c>
    </row>
    <row r="462" spans="1:5" x14ac:dyDescent="0.2">
      <c r="A462" s="39" t="s">
        <v>68</v>
      </c>
      <c r="B462" s="39" t="s">
        <v>63</v>
      </c>
      <c r="C462" s="39" t="s">
        <v>64</v>
      </c>
      <c r="D462" s="39">
        <v>20.329999999999998</v>
      </c>
      <c r="E462" s="39" t="s">
        <v>65</v>
      </c>
    </row>
    <row r="463" spans="1:5" x14ac:dyDescent="0.2">
      <c r="A463" s="39" t="s">
        <v>68</v>
      </c>
      <c r="B463" s="39" t="s">
        <v>63</v>
      </c>
      <c r="C463" s="39" t="s">
        <v>61</v>
      </c>
      <c r="D463" s="39">
        <v>21.36</v>
      </c>
      <c r="E463" s="39" t="s">
        <v>65</v>
      </c>
    </row>
    <row r="464" spans="1:5" x14ac:dyDescent="0.2">
      <c r="A464" s="39" t="s">
        <v>68</v>
      </c>
      <c r="B464" s="39" t="s">
        <v>60</v>
      </c>
      <c r="C464" s="39" t="s">
        <v>64</v>
      </c>
      <c r="D464" s="39">
        <v>21.58</v>
      </c>
      <c r="E464" s="39" t="s">
        <v>65</v>
      </c>
    </row>
    <row r="465" spans="1:5" x14ac:dyDescent="0.2">
      <c r="A465" s="39" t="s">
        <v>68</v>
      </c>
      <c r="B465" s="39" t="s">
        <v>63</v>
      </c>
      <c r="C465" s="39" t="s">
        <v>61</v>
      </c>
      <c r="D465" s="39">
        <v>23.29</v>
      </c>
      <c r="E465" s="39" t="s">
        <v>65</v>
      </c>
    </row>
    <row r="466" spans="1:5" x14ac:dyDescent="0.2">
      <c r="A466" s="39" t="s">
        <v>68</v>
      </c>
      <c r="B466" s="39" t="s">
        <v>60</v>
      </c>
      <c r="C466" s="39" t="s">
        <v>61</v>
      </c>
      <c r="D466" s="39">
        <v>19.809999999999999</v>
      </c>
      <c r="E466" s="39" t="s">
        <v>65</v>
      </c>
    </row>
    <row r="467" spans="1:5" x14ac:dyDescent="0.2">
      <c r="A467" s="39" t="s">
        <v>68</v>
      </c>
      <c r="B467" s="39" t="s">
        <v>63</v>
      </c>
      <c r="C467" s="39" t="s">
        <v>64</v>
      </c>
      <c r="D467" s="39">
        <v>23.45</v>
      </c>
      <c r="E467" s="39" t="s">
        <v>65</v>
      </c>
    </row>
    <row r="468" spans="1:5" x14ac:dyDescent="0.2">
      <c r="A468" s="39" t="s">
        <v>68</v>
      </c>
      <c r="B468" s="39" t="s">
        <v>63</v>
      </c>
      <c r="C468" s="39" t="s">
        <v>61</v>
      </c>
      <c r="D468" s="39">
        <v>15.77</v>
      </c>
      <c r="E468" s="39" t="s">
        <v>65</v>
      </c>
    </row>
    <row r="469" spans="1:5" x14ac:dyDescent="0.2">
      <c r="A469" s="39" t="s">
        <v>68</v>
      </c>
      <c r="B469" s="39" t="s">
        <v>63</v>
      </c>
      <c r="C469" s="39" t="s">
        <v>61</v>
      </c>
      <c r="D469" s="39">
        <v>15.71</v>
      </c>
      <c r="E469" s="39" t="s">
        <v>65</v>
      </c>
    </row>
    <row r="470" spans="1:5" x14ac:dyDescent="0.2">
      <c r="A470" s="39" t="s">
        <v>68</v>
      </c>
      <c r="B470" s="39" t="s">
        <v>63</v>
      </c>
      <c r="C470" s="39" t="s">
        <v>64</v>
      </c>
      <c r="D470" s="39">
        <v>16.34</v>
      </c>
      <c r="E470" s="39" t="s">
        <v>65</v>
      </c>
    </row>
    <row r="471" spans="1:5" x14ac:dyDescent="0.2">
      <c r="A471" s="39" t="s">
        <v>68</v>
      </c>
      <c r="B471" s="39" t="s">
        <v>60</v>
      </c>
      <c r="C471" s="39" t="s">
        <v>61</v>
      </c>
      <c r="D471" s="39">
        <v>16.82</v>
      </c>
      <c r="E471" s="39" t="s">
        <v>65</v>
      </c>
    </row>
    <row r="472" spans="1:5" x14ac:dyDescent="0.2">
      <c r="A472" s="39" t="s">
        <v>68</v>
      </c>
      <c r="B472" s="39" t="s">
        <v>60</v>
      </c>
      <c r="C472" s="39" t="s">
        <v>61</v>
      </c>
      <c r="D472" s="39">
        <v>15.2</v>
      </c>
      <c r="E472" s="39" t="s">
        <v>65</v>
      </c>
    </row>
    <row r="473" spans="1:5" x14ac:dyDescent="0.2">
      <c r="A473" s="39" t="s">
        <v>68</v>
      </c>
      <c r="B473" s="39" t="s">
        <v>60</v>
      </c>
      <c r="C473" s="39" t="s">
        <v>61</v>
      </c>
      <c r="D473" s="39">
        <v>21.81</v>
      </c>
      <c r="E473" s="39" t="s">
        <v>65</v>
      </c>
    </row>
    <row r="474" spans="1:5" x14ac:dyDescent="0.2">
      <c r="A474" s="39" t="s">
        <v>68</v>
      </c>
      <c r="B474" s="39" t="s">
        <v>63</v>
      </c>
      <c r="C474" s="39" t="s">
        <v>64</v>
      </c>
      <c r="D474" s="39">
        <v>18.25</v>
      </c>
      <c r="E474" s="39" t="s">
        <v>65</v>
      </c>
    </row>
    <row r="475" spans="1:5" x14ac:dyDescent="0.2">
      <c r="A475" s="39" t="s">
        <v>68</v>
      </c>
      <c r="B475" s="39" t="s">
        <v>63</v>
      </c>
      <c r="C475" s="39" t="s">
        <v>61</v>
      </c>
      <c r="D475" s="39">
        <v>21.2</v>
      </c>
      <c r="E475" s="39" t="s">
        <v>65</v>
      </c>
    </row>
    <row r="476" spans="1:5" x14ac:dyDescent="0.2">
      <c r="A476" s="39" t="s">
        <v>68</v>
      </c>
      <c r="B476" s="39" t="s">
        <v>63</v>
      </c>
      <c r="C476" s="39" t="s">
        <v>61</v>
      </c>
      <c r="D476" s="39">
        <v>19.02</v>
      </c>
      <c r="E476" s="39" t="s">
        <v>65</v>
      </c>
    </row>
    <row r="477" spans="1:5" x14ac:dyDescent="0.2">
      <c r="A477" s="39" t="s">
        <v>68</v>
      </c>
      <c r="B477" s="39" t="s">
        <v>60</v>
      </c>
      <c r="C477" s="39" t="s">
        <v>61</v>
      </c>
      <c r="D477" s="39">
        <v>16.73</v>
      </c>
      <c r="E477" s="39" t="s">
        <v>65</v>
      </c>
    </row>
    <row r="478" spans="1:5" x14ac:dyDescent="0.2">
      <c r="A478" s="39" t="s">
        <v>68</v>
      </c>
      <c r="B478" s="39" t="s">
        <v>60</v>
      </c>
      <c r="C478" s="39" t="s">
        <v>64</v>
      </c>
      <c r="D478" s="39">
        <v>22.05</v>
      </c>
      <c r="E478" s="39" t="s">
        <v>65</v>
      </c>
    </row>
  </sheetData>
  <mergeCells count="2">
    <mergeCell ref="J5:L5"/>
    <mergeCell ref="A1:E1"/>
  </mergeCells>
  <pageMargins left="0.7" right="0.7" top="0.75" bottom="0.75" header="0.3" footer="0.3"/>
  <drawing r:id="rId3"/>
  <tableParts count="1">
    <tablePart r:id="rId4"/>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97"/>
  <sheetViews>
    <sheetView showGridLines="0" workbookViewId="0"/>
  </sheetViews>
  <sheetFormatPr defaultRowHeight="12.75" x14ac:dyDescent="0.2"/>
  <cols>
    <col min="1" max="1" width="21.7109375" style="1" bestFit="1" customWidth="1"/>
    <col min="2" max="2" width="18.140625" style="1" bestFit="1" customWidth="1"/>
    <col min="3" max="3" width="16.28515625" style="1" customWidth="1"/>
    <col min="4" max="5" width="9.140625" style="1"/>
    <col min="6" max="6" width="9.7109375" style="1" customWidth="1"/>
    <col min="7" max="7" width="13.7109375" style="1" customWidth="1"/>
    <col min="8" max="16" width="9.140625" style="1"/>
    <col min="17" max="17" width="9.140625" style="1" customWidth="1"/>
    <col min="18" max="16384" width="9.140625" style="1"/>
  </cols>
  <sheetData>
    <row r="1" spans="1:11" x14ac:dyDescent="0.2">
      <c r="A1" s="64" t="s">
        <v>113</v>
      </c>
      <c r="B1" s="64"/>
      <c r="C1" s="64"/>
      <c r="E1" s="63" t="b">
        <v>1</v>
      </c>
      <c r="F1" s="1" t="s">
        <v>96</v>
      </c>
      <c r="G1" s="1" t="s">
        <v>97</v>
      </c>
    </row>
    <row r="2" spans="1:11" x14ac:dyDescent="0.2">
      <c r="F2" s="63" t="b">
        <v>1</v>
      </c>
      <c r="G2" s="1" t="s">
        <v>99</v>
      </c>
    </row>
    <row r="3" spans="1:11" x14ac:dyDescent="0.2">
      <c r="A3" t="s">
        <v>72</v>
      </c>
      <c r="B3" t="s">
        <v>73</v>
      </c>
      <c r="C3" t="s">
        <v>74</v>
      </c>
      <c r="F3" s="63" t="b">
        <v>1</v>
      </c>
      <c r="G3" s="1" t="s">
        <v>100</v>
      </c>
    </row>
    <row r="4" spans="1:11" x14ac:dyDescent="0.2">
      <c r="A4" t="s">
        <v>75</v>
      </c>
      <c r="B4" t="s">
        <v>76</v>
      </c>
      <c r="C4">
        <v>68.75</v>
      </c>
    </row>
    <row r="5" spans="1:11" x14ac:dyDescent="0.2">
      <c r="A5" t="s">
        <v>75</v>
      </c>
      <c r="B5" t="s">
        <v>76</v>
      </c>
      <c r="C5">
        <v>82.5</v>
      </c>
    </row>
    <row r="6" spans="1:11" ht="15.75" x14ac:dyDescent="0.25">
      <c r="A6" t="s">
        <v>77</v>
      </c>
      <c r="B6" t="s">
        <v>78</v>
      </c>
      <c r="C6">
        <v>375</v>
      </c>
      <c r="F6" s="63" t="b">
        <v>1</v>
      </c>
      <c r="G6" s="34" t="s">
        <v>98</v>
      </c>
      <c r="H6" s="34"/>
      <c r="I6" s="34"/>
      <c r="J6" s="25"/>
      <c r="K6" s="25"/>
    </row>
    <row r="7" spans="1:11" x14ac:dyDescent="0.2">
      <c r="A7" t="s">
        <v>75</v>
      </c>
      <c r="B7" t="s">
        <v>78</v>
      </c>
      <c r="C7">
        <v>467.5</v>
      </c>
      <c r="F7" s="63" t="b">
        <v>1</v>
      </c>
      <c r="G7" s="3">
        <v>1</v>
      </c>
      <c r="H7" s="1" t="s">
        <v>131</v>
      </c>
      <c r="I7"/>
    </row>
    <row r="8" spans="1:11" x14ac:dyDescent="0.2">
      <c r="A8" t="s">
        <v>75</v>
      </c>
      <c r="B8" t="s">
        <v>79</v>
      </c>
      <c r="C8">
        <v>525</v>
      </c>
      <c r="F8" s="63" t="b">
        <v>1</v>
      </c>
      <c r="G8" s="3">
        <v>2</v>
      </c>
      <c r="H8" s="4" t="s">
        <v>134</v>
      </c>
      <c r="I8" s="2"/>
    </row>
    <row r="9" spans="1:11" x14ac:dyDescent="0.2">
      <c r="A9" t="s">
        <v>80</v>
      </c>
      <c r="B9" t="s">
        <v>81</v>
      </c>
      <c r="C9">
        <v>2700</v>
      </c>
      <c r="G9" s="3" t="s">
        <v>36</v>
      </c>
      <c r="H9" s="4" t="s">
        <v>132</v>
      </c>
      <c r="I9" s="2"/>
    </row>
    <row r="10" spans="1:11" x14ac:dyDescent="0.2">
      <c r="A10" t="s">
        <v>82</v>
      </c>
      <c r="B10" t="s">
        <v>81</v>
      </c>
      <c r="C10">
        <v>2940</v>
      </c>
      <c r="G10" s="3" t="s">
        <v>36</v>
      </c>
      <c r="H10" s="1" t="s">
        <v>133</v>
      </c>
      <c r="I10"/>
    </row>
    <row r="11" spans="1:11" x14ac:dyDescent="0.2">
      <c r="A11" t="s">
        <v>82</v>
      </c>
      <c r="B11" t="s">
        <v>81</v>
      </c>
      <c r="C11">
        <v>3062.5</v>
      </c>
      <c r="H11" s="1" t="s">
        <v>135</v>
      </c>
    </row>
    <row r="12" spans="1:11" x14ac:dyDescent="0.2">
      <c r="A12" t="s">
        <v>80</v>
      </c>
      <c r="B12" t="s">
        <v>81</v>
      </c>
      <c r="C12">
        <v>3150</v>
      </c>
      <c r="F12" s="63" t="b">
        <v>1</v>
      </c>
      <c r="G12" s="1">
        <v>3</v>
      </c>
      <c r="H12" s="1" t="s">
        <v>101</v>
      </c>
    </row>
    <row r="13" spans="1:11" x14ac:dyDescent="0.2">
      <c r="A13" t="s">
        <v>82</v>
      </c>
      <c r="B13" t="s">
        <v>81</v>
      </c>
      <c r="C13">
        <v>3185.0000000000005</v>
      </c>
      <c r="H13" s="1" t="s">
        <v>111</v>
      </c>
    </row>
    <row r="14" spans="1:11" x14ac:dyDescent="0.2">
      <c r="A14" t="s">
        <v>80</v>
      </c>
      <c r="B14" t="s">
        <v>81</v>
      </c>
      <c r="C14">
        <v>3300</v>
      </c>
      <c r="H14" s="1" t="s">
        <v>112</v>
      </c>
    </row>
    <row r="15" spans="1:11" x14ac:dyDescent="0.2">
      <c r="A15" t="s">
        <v>75</v>
      </c>
      <c r="B15" t="s">
        <v>81</v>
      </c>
      <c r="C15">
        <v>3562.5</v>
      </c>
    </row>
    <row r="16" spans="1:11" x14ac:dyDescent="0.2">
      <c r="A16" t="s">
        <v>82</v>
      </c>
      <c r="B16" t="s">
        <v>81</v>
      </c>
      <c r="C16">
        <v>3675.0000000000005</v>
      </c>
    </row>
    <row r="17" spans="1:3" x14ac:dyDescent="0.2">
      <c r="A17" t="s">
        <v>75</v>
      </c>
      <c r="B17" t="s">
        <v>81</v>
      </c>
      <c r="C17">
        <v>3705</v>
      </c>
    </row>
    <row r="18" spans="1:3" x14ac:dyDescent="0.2">
      <c r="A18" t="s">
        <v>75</v>
      </c>
      <c r="B18" t="s">
        <v>81</v>
      </c>
      <c r="C18">
        <v>3847.5</v>
      </c>
    </row>
    <row r="19" spans="1:3" x14ac:dyDescent="0.2">
      <c r="A19" t="s">
        <v>83</v>
      </c>
      <c r="B19" t="s">
        <v>81</v>
      </c>
      <c r="C19">
        <v>4425</v>
      </c>
    </row>
    <row r="20" spans="1:3" x14ac:dyDescent="0.2">
      <c r="A20" t="s">
        <v>84</v>
      </c>
      <c r="B20" t="s">
        <v>85</v>
      </c>
      <c r="C20">
        <v>4562.5</v>
      </c>
    </row>
    <row r="21" spans="1:3" x14ac:dyDescent="0.2">
      <c r="A21" t="s">
        <v>84</v>
      </c>
      <c r="B21" t="s">
        <v>85</v>
      </c>
      <c r="C21">
        <v>5292.5</v>
      </c>
    </row>
    <row r="22" spans="1:3" x14ac:dyDescent="0.2">
      <c r="A22" t="s">
        <v>84</v>
      </c>
      <c r="B22" t="s">
        <v>85</v>
      </c>
      <c r="C22">
        <v>5365.5</v>
      </c>
    </row>
    <row r="23" spans="1:3" x14ac:dyDescent="0.2">
      <c r="A23" t="s">
        <v>80</v>
      </c>
      <c r="B23" t="s">
        <v>85</v>
      </c>
      <c r="C23">
        <v>6075</v>
      </c>
    </row>
    <row r="24" spans="1:3" x14ac:dyDescent="0.2">
      <c r="A24" t="s">
        <v>82</v>
      </c>
      <c r="B24" t="s">
        <v>81</v>
      </c>
      <c r="C24">
        <v>6125</v>
      </c>
    </row>
    <row r="25" spans="1:3" x14ac:dyDescent="0.2">
      <c r="A25" t="s">
        <v>80</v>
      </c>
      <c r="B25" t="s">
        <v>85</v>
      </c>
      <c r="C25">
        <v>6277.5</v>
      </c>
    </row>
    <row r="26" spans="1:3" x14ac:dyDescent="0.2">
      <c r="A26" t="s">
        <v>83</v>
      </c>
      <c r="B26" t="s">
        <v>85</v>
      </c>
      <c r="C26">
        <v>6562.5</v>
      </c>
    </row>
    <row r="27" spans="1:3" x14ac:dyDescent="0.2">
      <c r="A27" t="s">
        <v>83</v>
      </c>
      <c r="B27" t="s">
        <v>85</v>
      </c>
      <c r="C27">
        <v>6750</v>
      </c>
    </row>
    <row r="28" spans="1:3" x14ac:dyDescent="0.2">
      <c r="A28" t="s">
        <v>77</v>
      </c>
      <c r="B28" t="s">
        <v>86</v>
      </c>
      <c r="C28">
        <v>6781.25</v>
      </c>
    </row>
    <row r="29" spans="1:3" x14ac:dyDescent="0.2">
      <c r="A29" t="s">
        <v>77</v>
      </c>
      <c r="B29" t="s">
        <v>86</v>
      </c>
      <c r="C29">
        <v>6875</v>
      </c>
    </row>
    <row r="30" spans="1:3" x14ac:dyDescent="0.2">
      <c r="A30" t="s">
        <v>83</v>
      </c>
      <c r="B30" t="s">
        <v>85</v>
      </c>
      <c r="C30">
        <v>6937.5</v>
      </c>
    </row>
    <row r="31" spans="1:3" x14ac:dyDescent="0.2">
      <c r="A31" t="s">
        <v>77</v>
      </c>
      <c r="B31" t="s">
        <v>86</v>
      </c>
      <c r="C31">
        <v>7000</v>
      </c>
    </row>
    <row r="32" spans="1:3" x14ac:dyDescent="0.2">
      <c r="A32" t="s">
        <v>82</v>
      </c>
      <c r="B32" t="s">
        <v>86</v>
      </c>
      <c r="C32">
        <v>7062.5</v>
      </c>
    </row>
    <row r="33" spans="1:8" x14ac:dyDescent="0.2">
      <c r="A33" t="s">
        <v>77</v>
      </c>
      <c r="B33" t="s">
        <v>86</v>
      </c>
      <c r="C33">
        <v>7062.5</v>
      </c>
    </row>
    <row r="34" spans="1:8" x14ac:dyDescent="0.2">
      <c r="A34" t="s">
        <v>84</v>
      </c>
      <c r="B34" t="s">
        <v>85</v>
      </c>
      <c r="C34">
        <v>7245.25</v>
      </c>
    </row>
    <row r="35" spans="1:8" x14ac:dyDescent="0.2">
      <c r="A35" t="s">
        <v>87</v>
      </c>
      <c r="B35" t="s">
        <v>86</v>
      </c>
      <c r="C35">
        <v>7425</v>
      </c>
      <c r="G35" s="1">
        <v>4</v>
      </c>
      <c r="H35" s="1" t="s">
        <v>102</v>
      </c>
    </row>
    <row r="36" spans="1:8" x14ac:dyDescent="0.2">
      <c r="A36" t="s">
        <v>83</v>
      </c>
      <c r="B36" t="s">
        <v>85</v>
      </c>
      <c r="C36">
        <v>7425</v>
      </c>
      <c r="H36" s="1" t="s">
        <v>114</v>
      </c>
    </row>
    <row r="37" spans="1:8" x14ac:dyDescent="0.2">
      <c r="A37" t="s">
        <v>87</v>
      </c>
      <c r="B37" t="s">
        <v>86</v>
      </c>
      <c r="C37">
        <v>7837.5</v>
      </c>
    </row>
    <row r="38" spans="1:8" x14ac:dyDescent="0.2">
      <c r="A38" t="s">
        <v>87</v>
      </c>
      <c r="B38" t="s">
        <v>86</v>
      </c>
      <c r="C38">
        <v>8002.5</v>
      </c>
    </row>
    <row r="39" spans="1:8" x14ac:dyDescent="0.2">
      <c r="A39" t="s">
        <v>84</v>
      </c>
      <c r="B39" t="s">
        <v>88</v>
      </c>
      <c r="C39">
        <v>9000</v>
      </c>
    </row>
    <row r="40" spans="1:8" x14ac:dyDescent="0.2">
      <c r="A40" t="s">
        <v>75</v>
      </c>
      <c r="B40" t="s">
        <v>88</v>
      </c>
      <c r="C40">
        <v>9045</v>
      </c>
    </row>
    <row r="41" spans="1:8" x14ac:dyDescent="0.2">
      <c r="A41" t="s">
        <v>75</v>
      </c>
      <c r="B41" t="s">
        <v>88</v>
      </c>
      <c r="C41">
        <v>9547.5</v>
      </c>
    </row>
    <row r="42" spans="1:8" x14ac:dyDescent="0.2">
      <c r="A42" t="s">
        <v>82</v>
      </c>
      <c r="B42" t="s">
        <v>88</v>
      </c>
      <c r="C42">
        <v>9975</v>
      </c>
    </row>
    <row r="43" spans="1:8" x14ac:dyDescent="0.2">
      <c r="A43" t="s">
        <v>75</v>
      </c>
      <c r="B43" t="s">
        <v>88</v>
      </c>
      <c r="C43">
        <v>10050</v>
      </c>
    </row>
    <row r="44" spans="1:8" x14ac:dyDescent="0.2">
      <c r="A44" t="s">
        <v>82</v>
      </c>
      <c r="B44" t="s">
        <v>88</v>
      </c>
      <c r="C44">
        <v>10450</v>
      </c>
    </row>
    <row r="45" spans="1:8" x14ac:dyDescent="0.2">
      <c r="A45" t="s">
        <v>84</v>
      </c>
      <c r="B45" t="s">
        <v>88</v>
      </c>
      <c r="C45">
        <v>10800</v>
      </c>
    </row>
    <row r="46" spans="1:8" x14ac:dyDescent="0.2">
      <c r="A46" t="s">
        <v>84</v>
      </c>
      <c r="B46" t="s">
        <v>89</v>
      </c>
      <c r="C46">
        <v>13650</v>
      </c>
    </row>
    <row r="47" spans="1:8" x14ac:dyDescent="0.2">
      <c r="A47" t="s">
        <v>80</v>
      </c>
      <c r="B47" t="s">
        <v>89</v>
      </c>
      <c r="C47">
        <v>14910</v>
      </c>
    </row>
    <row r="48" spans="1:8" x14ac:dyDescent="0.2">
      <c r="A48" t="s">
        <v>80</v>
      </c>
      <c r="B48" t="s">
        <v>89</v>
      </c>
      <c r="C48">
        <v>14910</v>
      </c>
    </row>
    <row r="49" spans="1:26" x14ac:dyDescent="0.2">
      <c r="A49" t="s">
        <v>80</v>
      </c>
      <c r="B49" t="s">
        <v>89</v>
      </c>
      <c r="C49">
        <v>15087.5</v>
      </c>
    </row>
    <row r="50" spans="1:26" x14ac:dyDescent="0.2">
      <c r="A50" t="s">
        <v>87</v>
      </c>
      <c r="B50" t="s">
        <v>89</v>
      </c>
      <c r="C50">
        <v>15562.5</v>
      </c>
    </row>
    <row r="51" spans="1:26" x14ac:dyDescent="0.2">
      <c r="A51" t="s">
        <v>87</v>
      </c>
      <c r="B51" t="s">
        <v>89</v>
      </c>
      <c r="C51">
        <v>15750</v>
      </c>
    </row>
    <row r="52" spans="1:26" x14ac:dyDescent="0.2">
      <c r="A52" t="s">
        <v>87</v>
      </c>
      <c r="B52" t="s">
        <v>89</v>
      </c>
      <c r="C52">
        <v>15937.5</v>
      </c>
    </row>
    <row r="53" spans="1:26" x14ac:dyDescent="0.2">
      <c r="A53" t="s">
        <v>80</v>
      </c>
      <c r="B53" t="s">
        <v>89</v>
      </c>
      <c r="C53">
        <v>16276.75</v>
      </c>
    </row>
    <row r="54" spans="1:26" x14ac:dyDescent="0.2">
      <c r="A54" t="s">
        <v>80</v>
      </c>
      <c r="B54" t="s">
        <v>89</v>
      </c>
      <c r="C54">
        <v>16330</v>
      </c>
    </row>
    <row r="55" spans="1:26" x14ac:dyDescent="0.2">
      <c r="A55" t="s">
        <v>77</v>
      </c>
      <c r="B55" t="s">
        <v>90</v>
      </c>
      <c r="C55">
        <v>16625</v>
      </c>
    </row>
    <row r="56" spans="1:26" x14ac:dyDescent="0.2">
      <c r="A56" t="s">
        <v>80</v>
      </c>
      <c r="B56" t="s">
        <v>89</v>
      </c>
      <c r="C56">
        <v>17040</v>
      </c>
    </row>
    <row r="57" spans="1:26" x14ac:dyDescent="0.2">
      <c r="A57" t="s">
        <v>80</v>
      </c>
      <c r="B57" t="s">
        <v>90</v>
      </c>
      <c r="C57">
        <v>17250</v>
      </c>
      <c r="G57" s="3" t="s">
        <v>103</v>
      </c>
      <c r="H57" s="1" t="s">
        <v>104</v>
      </c>
      <c r="P57" s="1" t="s">
        <v>110</v>
      </c>
    </row>
    <row r="58" spans="1:26" x14ac:dyDescent="0.2">
      <c r="A58" t="s">
        <v>91</v>
      </c>
      <c r="B58" t="s">
        <v>89</v>
      </c>
      <c r="C58">
        <v>17775</v>
      </c>
      <c r="H58" s="1">
        <v>1</v>
      </c>
      <c r="I58" s="1" t="s">
        <v>106</v>
      </c>
      <c r="P58" s="1">
        <v>1</v>
      </c>
      <c r="Q58" s="65" t="s">
        <v>176</v>
      </c>
      <c r="R58" s="66"/>
      <c r="S58" s="66"/>
      <c r="T58" s="66"/>
      <c r="U58" s="66"/>
      <c r="V58" s="66"/>
      <c r="W58" s="66"/>
      <c r="X58" s="66"/>
      <c r="Y58" s="66"/>
      <c r="Z58" s="66"/>
    </row>
    <row r="59" spans="1:26" x14ac:dyDescent="0.2">
      <c r="A59" t="s">
        <v>87</v>
      </c>
      <c r="B59" t="s">
        <v>90</v>
      </c>
      <c r="C59">
        <v>18150</v>
      </c>
      <c r="H59" s="1">
        <v>2</v>
      </c>
      <c r="I59" s="1" t="s">
        <v>105</v>
      </c>
      <c r="P59" s="1">
        <v>2</v>
      </c>
      <c r="Q59" s="65" t="s">
        <v>177</v>
      </c>
      <c r="R59" s="66"/>
      <c r="S59" s="66"/>
      <c r="T59" s="66"/>
      <c r="U59" s="66"/>
      <c r="V59" s="66"/>
      <c r="W59" s="66"/>
      <c r="X59" s="66"/>
      <c r="Y59" s="66"/>
      <c r="Z59" s="66"/>
    </row>
    <row r="60" spans="1:26" x14ac:dyDescent="0.2">
      <c r="A60" t="s">
        <v>87</v>
      </c>
      <c r="B60" t="s">
        <v>90</v>
      </c>
      <c r="C60">
        <v>19250</v>
      </c>
      <c r="H60" s="1">
        <v>3</v>
      </c>
      <c r="I60" s="1" t="s">
        <v>108</v>
      </c>
      <c r="P60" s="1">
        <v>3</v>
      </c>
      <c r="Q60" s="65" t="s">
        <v>178</v>
      </c>
      <c r="R60" s="66"/>
      <c r="S60" s="66"/>
      <c r="T60" s="66"/>
      <c r="U60" s="66"/>
      <c r="V60" s="66"/>
      <c r="W60" s="66"/>
      <c r="X60" s="66"/>
      <c r="Y60" s="66"/>
      <c r="Z60" s="66"/>
    </row>
    <row r="61" spans="1:26" x14ac:dyDescent="0.2">
      <c r="A61" t="s">
        <v>87</v>
      </c>
      <c r="B61" t="s">
        <v>90</v>
      </c>
      <c r="C61">
        <v>19910</v>
      </c>
      <c r="H61" s="1">
        <v>4</v>
      </c>
      <c r="I61" s="1" t="s">
        <v>107</v>
      </c>
      <c r="P61" s="1">
        <v>4</v>
      </c>
      <c r="Q61" s="65" t="s">
        <v>179</v>
      </c>
      <c r="R61" s="66"/>
      <c r="S61" s="66"/>
      <c r="T61" s="66"/>
      <c r="U61" s="66"/>
      <c r="V61" s="66"/>
      <c r="W61" s="66"/>
      <c r="X61" s="66"/>
      <c r="Y61" s="66"/>
      <c r="Z61" s="66"/>
    </row>
    <row r="62" spans="1:26" ht="12.75" customHeight="1" x14ac:dyDescent="0.2">
      <c r="A62" t="s">
        <v>87</v>
      </c>
      <c r="B62" t="s">
        <v>92</v>
      </c>
      <c r="C62">
        <v>21450</v>
      </c>
      <c r="H62" s="1">
        <v>5</v>
      </c>
      <c r="I62" s="1" t="s">
        <v>109</v>
      </c>
      <c r="P62" s="1">
        <v>5</v>
      </c>
      <c r="Q62" s="67" t="s">
        <v>180</v>
      </c>
      <c r="R62" s="67"/>
      <c r="S62" s="67"/>
      <c r="T62" s="67"/>
      <c r="U62" s="67"/>
      <c r="V62" s="67"/>
      <c r="W62" s="67"/>
      <c r="X62" s="67"/>
      <c r="Y62" s="67"/>
      <c r="Z62" s="67"/>
    </row>
    <row r="63" spans="1:26" x14ac:dyDescent="0.2">
      <c r="A63" t="s">
        <v>82</v>
      </c>
      <c r="B63" t="s">
        <v>90</v>
      </c>
      <c r="C63">
        <v>22575</v>
      </c>
      <c r="Q63" s="67"/>
      <c r="R63" s="67"/>
      <c r="S63" s="67"/>
      <c r="T63" s="67"/>
      <c r="U63" s="67"/>
      <c r="V63" s="67"/>
      <c r="W63" s="67"/>
      <c r="X63" s="67"/>
      <c r="Y63" s="67"/>
      <c r="Z63" s="67"/>
    </row>
    <row r="64" spans="1:26" x14ac:dyDescent="0.2">
      <c r="A64" t="s">
        <v>87</v>
      </c>
      <c r="B64" t="s">
        <v>92</v>
      </c>
      <c r="C64">
        <v>23400</v>
      </c>
      <c r="Q64" s="67"/>
      <c r="R64" s="67"/>
      <c r="S64" s="67"/>
      <c r="T64" s="67"/>
      <c r="U64" s="67"/>
      <c r="V64" s="67"/>
      <c r="W64" s="67"/>
      <c r="X64" s="67"/>
      <c r="Y64" s="67"/>
      <c r="Z64" s="67"/>
    </row>
    <row r="65" spans="1:26" x14ac:dyDescent="0.2">
      <c r="A65" t="s">
        <v>82</v>
      </c>
      <c r="B65" t="s">
        <v>90</v>
      </c>
      <c r="C65">
        <v>23625</v>
      </c>
      <c r="Q65" s="67"/>
      <c r="R65" s="67"/>
      <c r="S65" s="67"/>
      <c r="T65" s="67"/>
      <c r="U65" s="67"/>
      <c r="V65" s="67"/>
      <c r="W65" s="67"/>
      <c r="X65" s="67"/>
      <c r="Y65" s="67"/>
      <c r="Z65" s="67"/>
    </row>
    <row r="66" spans="1:26" x14ac:dyDescent="0.2">
      <c r="A66" t="s">
        <v>82</v>
      </c>
      <c r="B66" t="s">
        <v>90</v>
      </c>
      <c r="C66">
        <v>23625</v>
      </c>
      <c r="Q66" s="67"/>
      <c r="R66" s="67"/>
      <c r="S66" s="67"/>
      <c r="T66" s="67"/>
      <c r="U66" s="67"/>
      <c r="V66" s="67"/>
      <c r="W66" s="67"/>
      <c r="X66" s="67"/>
      <c r="Y66" s="67"/>
      <c r="Z66" s="67"/>
    </row>
    <row r="67" spans="1:26" x14ac:dyDescent="0.2">
      <c r="A67" t="s">
        <v>77</v>
      </c>
      <c r="B67" t="s">
        <v>90</v>
      </c>
      <c r="C67">
        <v>23750</v>
      </c>
      <c r="Q67" s="67"/>
      <c r="R67" s="67"/>
      <c r="S67" s="67"/>
      <c r="T67" s="67"/>
      <c r="U67" s="67"/>
      <c r="V67" s="67"/>
      <c r="W67" s="67"/>
      <c r="X67" s="67"/>
      <c r="Y67" s="67"/>
      <c r="Z67" s="67"/>
    </row>
    <row r="68" spans="1:26" x14ac:dyDescent="0.2">
      <c r="A68" t="s">
        <v>82</v>
      </c>
      <c r="B68" t="s">
        <v>90</v>
      </c>
      <c r="C68">
        <v>24150</v>
      </c>
      <c r="Q68" s="67"/>
      <c r="R68" s="67"/>
      <c r="S68" s="67"/>
      <c r="T68" s="67"/>
      <c r="U68" s="67"/>
      <c r="V68" s="67"/>
      <c r="W68" s="67"/>
      <c r="X68" s="67"/>
      <c r="Y68" s="67"/>
      <c r="Z68" s="67"/>
    </row>
    <row r="69" spans="1:26" x14ac:dyDescent="0.2">
      <c r="A69" t="s">
        <v>84</v>
      </c>
      <c r="B69" t="s">
        <v>90</v>
      </c>
      <c r="C69">
        <v>25000</v>
      </c>
    </row>
    <row r="70" spans="1:26" x14ac:dyDescent="0.2">
      <c r="A70" t="s">
        <v>87</v>
      </c>
      <c r="B70" t="s">
        <v>92</v>
      </c>
      <c r="C70">
        <v>25350</v>
      </c>
    </row>
    <row r="71" spans="1:26" x14ac:dyDescent="0.2">
      <c r="A71" t="s">
        <v>91</v>
      </c>
      <c r="B71" t="s">
        <v>92</v>
      </c>
      <c r="C71">
        <v>25900</v>
      </c>
    </row>
    <row r="72" spans="1:26" x14ac:dyDescent="0.2">
      <c r="A72" t="s">
        <v>82</v>
      </c>
      <c r="B72" t="s">
        <v>92</v>
      </c>
      <c r="C72">
        <v>26250</v>
      </c>
    </row>
    <row r="73" spans="1:26" x14ac:dyDescent="0.2">
      <c r="A73" t="s">
        <v>82</v>
      </c>
      <c r="B73" t="s">
        <v>92</v>
      </c>
      <c r="C73">
        <v>27125</v>
      </c>
    </row>
    <row r="74" spans="1:26" x14ac:dyDescent="0.2">
      <c r="A74" t="s">
        <v>91</v>
      </c>
      <c r="B74" t="s">
        <v>92</v>
      </c>
      <c r="C74">
        <v>27750</v>
      </c>
    </row>
    <row r="75" spans="1:26" x14ac:dyDescent="0.2">
      <c r="A75" t="s">
        <v>82</v>
      </c>
      <c r="B75" t="s">
        <v>92</v>
      </c>
      <c r="C75">
        <v>30625</v>
      </c>
    </row>
    <row r="76" spans="1:26" x14ac:dyDescent="0.2">
      <c r="A76" t="s">
        <v>91</v>
      </c>
      <c r="B76" t="s">
        <v>93</v>
      </c>
      <c r="C76">
        <v>38250</v>
      </c>
    </row>
    <row r="77" spans="1:26" x14ac:dyDescent="0.2">
      <c r="A77" t="s">
        <v>84</v>
      </c>
      <c r="B77" t="s">
        <v>93</v>
      </c>
      <c r="C77">
        <v>42000</v>
      </c>
    </row>
    <row r="78" spans="1:26" x14ac:dyDescent="0.2">
      <c r="A78" t="s">
        <v>91</v>
      </c>
      <c r="B78" t="s">
        <v>93</v>
      </c>
      <c r="C78">
        <v>42500</v>
      </c>
    </row>
    <row r="79" spans="1:26" x14ac:dyDescent="0.2">
      <c r="A79" t="s">
        <v>91</v>
      </c>
      <c r="B79" t="s">
        <v>93</v>
      </c>
      <c r="C79">
        <v>44625</v>
      </c>
    </row>
    <row r="80" spans="1:26" x14ac:dyDescent="0.2">
      <c r="A80" t="s">
        <v>77</v>
      </c>
      <c r="B80" t="s">
        <v>93</v>
      </c>
      <c r="C80">
        <v>53125</v>
      </c>
    </row>
    <row r="81" spans="1:3" x14ac:dyDescent="0.2">
      <c r="A81" t="s">
        <v>84</v>
      </c>
      <c r="B81" t="s">
        <v>93</v>
      </c>
      <c r="C81">
        <v>58800</v>
      </c>
    </row>
    <row r="82" spans="1:3" x14ac:dyDescent="0.2">
      <c r="A82" t="s">
        <v>77</v>
      </c>
      <c r="B82" t="s">
        <v>93</v>
      </c>
      <c r="C82">
        <v>61625</v>
      </c>
    </row>
    <row r="83" spans="1:3" x14ac:dyDescent="0.2">
      <c r="A83" t="s">
        <v>84</v>
      </c>
      <c r="B83" t="s">
        <v>93</v>
      </c>
      <c r="C83">
        <v>63000</v>
      </c>
    </row>
    <row r="84" spans="1:3" x14ac:dyDescent="0.2">
      <c r="A84" t="s">
        <v>77</v>
      </c>
      <c r="B84" t="s">
        <v>93</v>
      </c>
      <c r="C84">
        <v>63750</v>
      </c>
    </row>
    <row r="85" spans="1:3" x14ac:dyDescent="0.2">
      <c r="A85" t="s">
        <v>87</v>
      </c>
      <c r="B85" t="s">
        <v>94</v>
      </c>
      <c r="C85">
        <v>64500</v>
      </c>
    </row>
    <row r="86" spans="1:3" x14ac:dyDescent="0.2">
      <c r="A86" t="s">
        <v>77</v>
      </c>
      <c r="B86" t="s">
        <v>93</v>
      </c>
      <c r="C86">
        <v>65875</v>
      </c>
    </row>
    <row r="87" spans="1:3" x14ac:dyDescent="0.2">
      <c r="A87" t="s">
        <v>77</v>
      </c>
      <c r="B87" t="s">
        <v>93</v>
      </c>
      <c r="C87">
        <v>72250</v>
      </c>
    </row>
    <row r="88" spans="1:3" x14ac:dyDescent="0.2">
      <c r="A88" t="s">
        <v>77</v>
      </c>
      <c r="B88" t="s">
        <v>93</v>
      </c>
      <c r="C88">
        <v>74375</v>
      </c>
    </row>
    <row r="89" spans="1:3" x14ac:dyDescent="0.2">
      <c r="A89" t="s">
        <v>77</v>
      </c>
      <c r="B89" t="s">
        <v>93</v>
      </c>
      <c r="C89">
        <v>76500</v>
      </c>
    </row>
    <row r="90" spans="1:3" x14ac:dyDescent="0.2">
      <c r="A90" t="s">
        <v>87</v>
      </c>
      <c r="B90" t="s">
        <v>94</v>
      </c>
      <c r="C90">
        <v>77400</v>
      </c>
    </row>
    <row r="91" spans="1:3" x14ac:dyDescent="0.2">
      <c r="A91" t="s">
        <v>75</v>
      </c>
      <c r="B91" t="s">
        <v>94</v>
      </c>
      <c r="C91">
        <v>81937.5</v>
      </c>
    </row>
    <row r="92" spans="1:3" x14ac:dyDescent="0.2">
      <c r="A92" t="s">
        <v>77</v>
      </c>
      <c r="B92" t="s">
        <v>93</v>
      </c>
      <c r="C92">
        <v>82875</v>
      </c>
    </row>
    <row r="93" spans="1:3" x14ac:dyDescent="0.2">
      <c r="A93" t="s">
        <v>87</v>
      </c>
      <c r="B93" t="s">
        <v>94</v>
      </c>
      <c r="C93">
        <v>96750</v>
      </c>
    </row>
    <row r="94" spans="1:3" x14ac:dyDescent="0.2">
      <c r="A94" t="s">
        <v>91</v>
      </c>
      <c r="B94" t="s">
        <v>95</v>
      </c>
      <c r="C94">
        <v>103530</v>
      </c>
    </row>
    <row r="95" spans="1:3" x14ac:dyDescent="0.2">
      <c r="A95" t="s">
        <v>84</v>
      </c>
      <c r="B95" t="s">
        <v>95</v>
      </c>
      <c r="C95">
        <v>110000</v>
      </c>
    </row>
    <row r="96" spans="1:3" x14ac:dyDescent="0.2">
      <c r="A96" t="s">
        <v>84</v>
      </c>
      <c r="B96" t="s">
        <v>95</v>
      </c>
      <c r="C96">
        <v>121000</v>
      </c>
    </row>
    <row r="97" spans="1:3" x14ac:dyDescent="0.2">
      <c r="A97" t="s">
        <v>91</v>
      </c>
      <c r="B97" t="s">
        <v>95</v>
      </c>
      <c r="C97">
        <v>127500</v>
      </c>
    </row>
  </sheetData>
  <mergeCells count="5">
    <mergeCell ref="Q58:Z58"/>
    <mergeCell ref="Q59:Z59"/>
    <mergeCell ref="Q60:Z60"/>
    <mergeCell ref="Q61:Z61"/>
    <mergeCell ref="Q62:Z68"/>
  </mergeCells>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Database 1 &amp; Instructions</vt:lpstr>
      <vt:lpstr>Job 7.1</vt:lpstr>
      <vt:lpstr>Job 7.2</vt:lpstr>
      <vt:lpstr>Job 7.3</vt:lpstr>
      <vt:lpstr>Job 7.4</vt:lpstr>
      <vt:lpstr>Database 2  &amp; Instructions</vt:lpstr>
      <vt:lpstr>Database 3 &amp; Instructions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James Evans</dc:creator>
  <cp:lastModifiedBy>Derrick Jones</cp:lastModifiedBy>
  <dcterms:created xsi:type="dcterms:W3CDTF">2001-11-05T21:17:23Z</dcterms:created>
  <dcterms:modified xsi:type="dcterms:W3CDTF">2026-01-06T23:10:41Z</dcterms:modified>
</cp:coreProperties>
</file>